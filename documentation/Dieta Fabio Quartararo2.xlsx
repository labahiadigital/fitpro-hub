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4"/>
  <workbookPr checkCompatibility="1" autoCompressPictures="0"/>
  <mc:AlternateContent xmlns:mc="http://schemas.openxmlformats.org/markup-compatibility/2006">
    <mc:Choice Requires="x15">
      <x15ac:absPath xmlns:x15ac="http://schemas.microsoft.com/office/spreadsheetml/2010/11/ac" url="/Users/borjasanfelix/Desktop/"/>
    </mc:Choice>
  </mc:AlternateContent>
  <xr:revisionPtr revIDLastSave="0" documentId="8_{EDB201B1-35AC-B44A-A20B-8C7A4CC1629D}" xr6:coauthVersionLast="47" xr6:coauthVersionMax="47" xr10:uidLastSave="{00000000-0000-0000-0000-000000000000}"/>
  <bookViews>
    <workbookView xWindow="0" yWindow="500" windowWidth="28800" windowHeight="17500" tabRatio="920" activeTab="1" xr2:uid="{00000000-000D-0000-FFFF-FFFF00000000}"/>
  </bookViews>
  <sheets>
    <sheet name="Calculos" sheetId="16" r:id="rId1"/>
    <sheet name="Resultados" sheetId="1" r:id="rId2"/>
    <sheet name="Carnes y Pescados" sheetId="2" r:id="rId3"/>
    <sheet name="Huevos y Lacteos" sheetId="4" r:id="rId4"/>
    <sheet name="Cereales y Legumbres" sheetId="6" r:id="rId5"/>
    <sheet name="Verduras y Frutas" sheetId="8" r:id="rId6"/>
    <sheet name="Frutos Secos y Aceites" sheetId="10" r:id="rId7"/>
    <sheet name="Azucares y Bebidas" sheetId="12" r:id="rId8"/>
    <sheet name="Càlculs" sheetId="15"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61" i="15" l="1"/>
  <c r="B62" i="15"/>
  <c r="B63" i="15"/>
  <c r="A62" i="15"/>
  <c r="C62" i="15"/>
  <c r="D62" i="15"/>
  <c r="E62" i="15"/>
  <c r="F62" i="15"/>
  <c r="G62" i="15"/>
  <c r="H62" i="15"/>
  <c r="I62" i="15"/>
  <c r="J62" i="15"/>
  <c r="K62" i="15"/>
  <c r="L62" i="15"/>
  <c r="M62" i="15"/>
  <c r="N62" i="15"/>
  <c r="O62" i="15"/>
  <c r="P62" i="15"/>
  <c r="Q62" i="15"/>
  <c r="R62" i="15"/>
  <c r="S62" i="15"/>
  <c r="T62" i="15"/>
  <c r="U62" i="15"/>
  <c r="A63" i="15"/>
  <c r="C63" i="15"/>
  <c r="D63" i="15"/>
  <c r="E63" i="15"/>
  <c r="F63" i="15"/>
  <c r="G63" i="15"/>
  <c r="H63" i="15"/>
  <c r="I63" i="15"/>
  <c r="J63" i="15"/>
  <c r="K63" i="15"/>
  <c r="L63" i="15"/>
  <c r="M63" i="15"/>
  <c r="N63" i="15"/>
  <c r="O63" i="15"/>
  <c r="P63" i="15"/>
  <c r="Q63" i="15"/>
  <c r="R63" i="15"/>
  <c r="S63" i="15"/>
  <c r="T63" i="15"/>
  <c r="U63" i="15"/>
  <c r="A100" i="15"/>
  <c r="B100" i="15"/>
  <c r="C100" i="15"/>
  <c r="D100" i="15"/>
  <c r="E100" i="15"/>
  <c r="F100" i="15"/>
  <c r="G100" i="15"/>
  <c r="H100" i="15"/>
  <c r="I100" i="15"/>
  <c r="J100" i="15"/>
  <c r="K100" i="15"/>
  <c r="L100" i="15"/>
  <c r="M100" i="15"/>
  <c r="N100" i="15"/>
  <c r="O100" i="15"/>
  <c r="P100" i="15"/>
  <c r="Q100" i="15"/>
  <c r="R100" i="15"/>
  <c r="S100" i="15"/>
  <c r="T100" i="15"/>
  <c r="U100" i="15"/>
  <c r="A101" i="15"/>
  <c r="B101" i="15"/>
  <c r="C101" i="15"/>
  <c r="D101" i="15"/>
  <c r="E101" i="15"/>
  <c r="F101" i="15"/>
  <c r="G101" i="15"/>
  <c r="H101" i="15"/>
  <c r="I101" i="15"/>
  <c r="J101" i="15"/>
  <c r="K101" i="15"/>
  <c r="L101" i="15"/>
  <c r="M101" i="15"/>
  <c r="N101" i="15"/>
  <c r="O101" i="15"/>
  <c r="P101" i="15"/>
  <c r="Q101" i="15"/>
  <c r="R101" i="15"/>
  <c r="S101" i="15"/>
  <c r="T101" i="15"/>
  <c r="U101" i="15"/>
  <c r="A98" i="15"/>
  <c r="B98" i="15"/>
  <c r="C98" i="15"/>
  <c r="D98" i="15"/>
  <c r="E98" i="15"/>
  <c r="F98" i="15"/>
  <c r="G98" i="15"/>
  <c r="H98" i="15"/>
  <c r="I98" i="15"/>
  <c r="J98" i="15"/>
  <c r="K98" i="15"/>
  <c r="L98" i="15"/>
  <c r="M98" i="15"/>
  <c r="N98" i="15"/>
  <c r="O98" i="15"/>
  <c r="P98" i="15"/>
  <c r="Q98" i="15"/>
  <c r="R98" i="15"/>
  <c r="S98" i="15"/>
  <c r="T98" i="15"/>
  <c r="U98" i="15"/>
  <c r="A99" i="15"/>
  <c r="B99" i="15"/>
  <c r="C99" i="15"/>
  <c r="D99" i="15"/>
  <c r="E99" i="15"/>
  <c r="F99" i="15"/>
  <c r="G99" i="15"/>
  <c r="H99" i="15"/>
  <c r="I99" i="15"/>
  <c r="J99" i="15"/>
  <c r="K99" i="15"/>
  <c r="L99" i="15"/>
  <c r="M99" i="15"/>
  <c r="N99" i="15"/>
  <c r="O99" i="15"/>
  <c r="P99" i="15"/>
  <c r="Q99" i="15"/>
  <c r="R99" i="15"/>
  <c r="S99" i="15"/>
  <c r="T99" i="15"/>
  <c r="U99" i="15"/>
  <c r="A51" i="15"/>
  <c r="B51" i="15"/>
  <c r="C51" i="15"/>
  <c r="D51" i="15"/>
  <c r="E51" i="15"/>
  <c r="F51" i="15"/>
  <c r="G51" i="15"/>
  <c r="H51" i="15"/>
  <c r="I51" i="15"/>
  <c r="J51" i="15"/>
  <c r="K51" i="15"/>
  <c r="L51" i="15"/>
  <c r="M51" i="15"/>
  <c r="N51" i="15"/>
  <c r="O51" i="15"/>
  <c r="P51" i="15"/>
  <c r="Q51" i="15"/>
  <c r="R51" i="15"/>
  <c r="S51" i="15"/>
  <c r="T51" i="15"/>
  <c r="U51" i="15"/>
  <c r="A31" i="15"/>
  <c r="B31" i="15"/>
  <c r="C31" i="15"/>
  <c r="D31" i="15"/>
  <c r="E31" i="15"/>
  <c r="F31" i="15"/>
  <c r="G31" i="15"/>
  <c r="H31" i="15"/>
  <c r="I31" i="15"/>
  <c r="J31" i="15"/>
  <c r="K31" i="15"/>
  <c r="L31" i="15"/>
  <c r="M31" i="15"/>
  <c r="N31" i="15"/>
  <c r="O31" i="15"/>
  <c r="P31" i="15"/>
  <c r="Q31" i="15"/>
  <c r="R31" i="15"/>
  <c r="S31" i="15"/>
  <c r="T31" i="15"/>
  <c r="U31" i="15"/>
  <c r="A30" i="15"/>
  <c r="B30" i="15"/>
  <c r="C30" i="15"/>
  <c r="D30" i="15"/>
  <c r="E30" i="15"/>
  <c r="F30" i="15"/>
  <c r="G30" i="15"/>
  <c r="H30" i="15"/>
  <c r="I30" i="15"/>
  <c r="J30" i="15"/>
  <c r="K30" i="15"/>
  <c r="L30" i="15"/>
  <c r="M30" i="15"/>
  <c r="N30" i="15"/>
  <c r="O30" i="15"/>
  <c r="P30" i="15"/>
  <c r="Q30" i="15"/>
  <c r="R30" i="15"/>
  <c r="S30" i="15"/>
  <c r="T30" i="15"/>
  <c r="U30" i="15"/>
  <c r="A29" i="15"/>
  <c r="B29" i="15"/>
  <c r="C29" i="15"/>
  <c r="D29" i="15"/>
  <c r="E29" i="15"/>
  <c r="F29" i="15"/>
  <c r="G29" i="15"/>
  <c r="H29" i="15"/>
  <c r="I29" i="15"/>
  <c r="J29" i="15"/>
  <c r="K29" i="15"/>
  <c r="L29" i="15"/>
  <c r="M29" i="15"/>
  <c r="N29" i="15"/>
  <c r="O29" i="15"/>
  <c r="P29" i="15"/>
  <c r="Q29" i="15"/>
  <c r="R29" i="15"/>
  <c r="S29" i="15"/>
  <c r="T29" i="15"/>
  <c r="U29" i="15"/>
  <c r="K10" i="16"/>
  <c r="H4" i="16"/>
  <c r="K5" i="16" s="1"/>
  <c r="H10" i="16"/>
  <c r="A90" i="15"/>
  <c r="B90" i="15"/>
  <c r="C90" i="15"/>
  <c r="D90" i="15"/>
  <c r="E90" i="15"/>
  <c r="F90" i="15"/>
  <c r="G90" i="15"/>
  <c r="H90" i="15"/>
  <c r="I90" i="15"/>
  <c r="J90" i="15"/>
  <c r="K90" i="15"/>
  <c r="L90" i="15"/>
  <c r="M90" i="15"/>
  <c r="N90" i="15"/>
  <c r="O90" i="15"/>
  <c r="P90" i="15"/>
  <c r="Q90" i="15"/>
  <c r="R90" i="15"/>
  <c r="S90" i="15"/>
  <c r="T90" i="15"/>
  <c r="U90" i="15"/>
  <c r="A132" i="15"/>
  <c r="B132" i="15"/>
  <c r="C132" i="15"/>
  <c r="D132" i="15"/>
  <c r="E132" i="15"/>
  <c r="F132" i="15"/>
  <c r="G132" i="15"/>
  <c r="H132" i="15"/>
  <c r="I132" i="15"/>
  <c r="J132" i="15"/>
  <c r="K132" i="15"/>
  <c r="L132" i="15"/>
  <c r="M132" i="15"/>
  <c r="N132" i="15"/>
  <c r="O132" i="15"/>
  <c r="P132" i="15"/>
  <c r="Q132" i="15"/>
  <c r="R132" i="15"/>
  <c r="S132" i="15"/>
  <c r="T132" i="15"/>
  <c r="U132" i="15"/>
  <c r="A88" i="15"/>
  <c r="B88" i="15"/>
  <c r="C88" i="15"/>
  <c r="D88" i="15"/>
  <c r="E88" i="15"/>
  <c r="F88" i="15"/>
  <c r="G88" i="15"/>
  <c r="H88" i="15"/>
  <c r="I88" i="15"/>
  <c r="J88" i="15"/>
  <c r="K88" i="15"/>
  <c r="L88" i="15"/>
  <c r="M88" i="15"/>
  <c r="N88" i="15"/>
  <c r="O88" i="15"/>
  <c r="P88" i="15"/>
  <c r="Q88" i="15"/>
  <c r="R88" i="15"/>
  <c r="S88" i="15"/>
  <c r="T88" i="15"/>
  <c r="U88" i="15"/>
  <c r="A59" i="15"/>
  <c r="B59" i="15"/>
  <c r="C59" i="15"/>
  <c r="D59" i="15"/>
  <c r="E59" i="15"/>
  <c r="F59" i="15"/>
  <c r="G59" i="15"/>
  <c r="H59" i="15"/>
  <c r="I59" i="15"/>
  <c r="J59" i="15"/>
  <c r="K59" i="15"/>
  <c r="L59" i="15"/>
  <c r="M59" i="15"/>
  <c r="N59" i="15"/>
  <c r="O59" i="15"/>
  <c r="P59" i="15"/>
  <c r="Q59" i="15"/>
  <c r="R59" i="15"/>
  <c r="S59" i="15"/>
  <c r="T59" i="15"/>
  <c r="U59" i="15"/>
  <c r="B41" i="15"/>
  <c r="A145" i="15"/>
  <c r="B145" i="15"/>
  <c r="C145" i="15"/>
  <c r="D145" i="15"/>
  <c r="E145" i="15"/>
  <c r="F145" i="15"/>
  <c r="G145" i="15"/>
  <c r="H145" i="15"/>
  <c r="I145" i="15"/>
  <c r="J145" i="15"/>
  <c r="K145" i="15"/>
  <c r="L145" i="15"/>
  <c r="M145" i="15"/>
  <c r="N145" i="15"/>
  <c r="O145" i="15"/>
  <c r="P145" i="15"/>
  <c r="Q145" i="15"/>
  <c r="R145" i="15"/>
  <c r="S145" i="15"/>
  <c r="T145" i="15"/>
  <c r="U145" i="15"/>
  <c r="A146" i="15"/>
  <c r="B146" i="15"/>
  <c r="C146" i="15"/>
  <c r="D146" i="15"/>
  <c r="E146" i="15"/>
  <c r="F146" i="15"/>
  <c r="G146" i="15"/>
  <c r="H146" i="15"/>
  <c r="I146" i="15"/>
  <c r="J146" i="15"/>
  <c r="K146" i="15"/>
  <c r="L146" i="15"/>
  <c r="M146" i="15"/>
  <c r="N146" i="15"/>
  <c r="O146" i="15"/>
  <c r="P146" i="15"/>
  <c r="Q146" i="15"/>
  <c r="R146" i="15"/>
  <c r="S146" i="15"/>
  <c r="T146" i="15"/>
  <c r="U146" i="15"/>
  <c r="A147" i="15"/>
  <c r="B147" i="15"/>
  <c r="C147" i="15"/>
  <c r="D147" i="15"/>
  <c r="E147" i="15"/>
  <c r="F147" i="15"/>
  <c r="G147" i="15"/>
  <c r="H147" i="15"/>
  <c r="I147" i="15"/>
  <c r="J147" i="15"/>
  <c r="K147" i="15"/>
  <c r="L147" i="15"/>
  <c r="M147" i="15"/>
  <c r="N147" i="15"/>
  <c r="O147" i="15"/>
  <c r="P147" i="15"/>
  <c r="Q147" i="15"/>
  <c r="R147" i="15"/>
  <c r="S147" i="15"/>
  <c r="T147" i="15"/>
  <c r="U147" i="15"/>
  <c r="A148" i="15"/>
  <c r="B148" i="15"/>
  <c r="C148" i="15"/>
  <c r="D148" i="15"/>
  <c r="E148" i="15"/>
  <c r="F148" i="15"/>
  <c r="G148" i="15"/>
  <c r="H148" i="15"/>
  <c r="I148" i="15"/>
  <c r="J148" i="15"/>
  <c r="K148" i="15"/>
  <c r="L148" i="15"/>
  <c r="M148" i="15"/>
  <c r="N148" i="15"/>
  <c r="O148" i="15"/>
  <c r="P148" i="15"/>
  <c r="Q148" i="15"/>
  <c r="R148" i="15"/>
  <c r="S148" i="15"/>
  <c r="T148" i="15"/>
  <c r="U148" i="15"/>
  <c r="A149" i="15"/>
  <c r="B149" i="15"/>
  <c r="C149" i="15"/>
  <c r="D149" i="15"/>
  <c r="E149" i="15"/>
  <c r="F149" i="15"/>
  <c r="G149" i="15"/>
  <c r="H149" i="15"/>
  <c r="I149" i="15"/>
  <c r="J149" i="15"/>
  <c r="K149" i="15"/>
  <c r="L149" i="15"/>
  <c r="M149" i="15"/>
  <c r="N149" i="15"/>
  <c r="O149" i="15"/>
  <c r="P149" i="15"/>
  <c r="Q149" i="15"/>
  <c r="R149" i="15"/>
  <c r="S149" i="15"/>
  <c r="T149" i="15"/>
  <c r="U149" i="15"/>
  <c r="A150" i="15"/>
  <c r="B150" i="15"/>
  <c r="C150" i="15"/>
  <c r="D150" i="15"/>
  <c r="E150" i="15"/>
  <c r="F150" i="15"/>
  <c r="G150" i="15"/>
  <c r="H150" i="15"/>
  <c r="I150" i="15"/>
  <c r="J150" i="15"/>
  <c r="K150" i="15"/>
  <c r="L150" i="15"/>
  <c r="M150" i="15"/>
  <c r="N150" i="15"/>
  <c r="O150" i="15"/>
  <c r="P150" i="15"/>
  <c r="Q150" i="15"/>
  <c r="R150" i="15"/>
  <c r="S150" i="15"/>
  <c r="T150" i="15"/>
  <c r="U150" i="15"/>
  <c r="A154" i="15"/>
  <c r="B154" i="15"/>
  <c r="C154" i="15"/>
  <c r="D154" i="15"/>
  <c r="E154" i="15"/>
  <c r="F154" i="15"/>
  <c r="G154" i="15"/>
  <c r="H154" i="15"/>
  <c r="I154" i="15"/>
  <c r="J154" i="15"/>
  <c r="K154" i="15"/>
  <c r="L154" i="15"/>
  <c r="M154" i="15"/>
  <c r="N154" i="15"/>
  <c r="O154" i="15"/>
  <c r="P154" i="15"/>
  <c r="Q154" i="15"/>
  <c r="R154" i="15"/>
  <c r="S154" i="15"/>
  <c r="T154" i="15"/>
  <c r="U154" i="15"/>
  <c r="A155" i="15"/>
  <c r="B155" i="15"/>
  <c r="C155" i="15"/>
  <c r="D155" i="15"/>
  <c r="E155" i="15"/>
  <c r="F155" i="15"/>
  <c r="G155" i="15"/>
  <c r="H155" i="15"/>
  <c r="I155" i="15"/>
  <c r="J155" i="15"/>
  <c r="K155" i="15"/>
  <c r="L155" i="15"/>
  <c r="M155" i="15"/>
  <c r="N155" i="15"/>
  <c r="O155" i="15"/>
  <c r="P155" i="15"/>
  <c r="Q155" i="15"/>
  <c r="R155" i="15"/>
  <c r="S155" i="15"/>
  <c r="T155" i="15"/>
  <c r="U155" i="15"/>
  <c r="A156" i="15"/>
  <c r="B156" i="15"/>
  <c r="C156" i="15"/>
  <c r="D156" i="15"/>
  <c r="E156" i="15"/>
  <c r="F156" i="15"/>
  <c r="G156" i="15"/>
  <c r="H156" i="15"/>
  <c r="I156" i="15"/>
  <c r="J156" i="15"/>
  <c r="K156" i="15"/>
  <c r="L156" i="15"/>
  <c r="M156" i="15"/>
  <c r="N156" i="15"/>
  <c r="O156" i="15"/>
  <c r="P156" i="15"/>
  <c r="Q156" i="15"/>
  <c r="R156" i="15"/>
  <c r="S156" i="15"/>
  <c r="T156" i="15"/>
  <c r="U156" i="15"/>
  <c r="A157" i="15"/>
  <c r="B157" i="15"/>
  <c r="C157" i="15"/>
  <c r="D157" i="15"/>
  <c r="E157" i="15"/>
  <c r="F157" i="15"/>
  <c r="G157" i="15"/>
  <c r="H157" i="15"/>
  <c r="I157" i="15"/>
  <c r="J157" i="15"/>
  <c r="K157" i="15"/>
  <c r="L157" i="15"/>
  <c r="M157" i="15"/>
  <c r="N157" i="15"/>
  <c r="O157" i="15"/>
  <c r="P157" i="15"/>
  <c r="Q157" i="15"/>
  <c r="R157" i="15"/>
  <c r="S157" i="15"/>
  <c r="T157" i="15"/>
  <c r="U157" i="15"/>
  <c r="A158" i="15"/>
  <c r="B158" i="15"/>
  <c r="C158" i="15"/>
  <c r="D158" i="15"/>
  <c r="E158" i="15"/>
  <c r="F158" i="15"/>
  <c r="G158" i="15"/>
  <c r="H158" i="15"/>
  <c r="I158" i="15"/>
  <c r="J158" i="15"/>
  <c r="K158" i="15"/>
  <c r="L158" i="15"/>
  <c r="M158" i="15"/>
  <c r="N158" i="15"/>
  <c r="O158" i="15"/>
  <c r="P158" i="15"/>
  <c r="Q158" i="15"/>
  <c r="R158" i="15"/>
  <c r="S158" i="15"/>
  <c r="T158" i="15"/>
  <c r="U158" i="15"/>
  <c r="A159" i="15"/>
  <c r="B159" i="15"/>
  <c r="C159" i="15"/>
  <c r="D159" i="15"/>
  <c r="E159" i="15"/>
  <c r="F159" i="15"/>
  <c r="G159" i="15"/>
  <c r="H159" i="15"/>
  <c r="I159" i="15"/>
  <c r="J159" i="15"/>
  <c r="K159" i="15"/>
  <c r="L159" i="15"/>
  <c r="M159" i="15"/>
  <c r="N159" i="15"/>
  <c r="O159" i="15"/>
  <c r="P159" i="15"/>
  <c r="Q159" i="15"/>
  <c r="R159" i="15"/>
  <c r="S159" i="15"/>
  <c r="T159" i="15"/>
  <c r="U159" i="15"/>
  <c r="A160" i="15"/>
  <c r="B160" i="15"/>
  <c r="C160" i="15"/>
  <c r="D160" i="15"/>
  <c r="E160" i="15"/>
  <c r="F160" i="15"/>
  <c r="G160" i="15"/>
  <c r="H160" i="15"/>
  <c r="I160" i="15"/>
  <c r="J160" i="15"/>
  <c r="K160" i="15"/>
  <c r="L160" i="15"/>
  <c r="M160" i="15"/>
  <c r="N160" i="15"/>
  <c r="O160" i="15"/>
  <c r="P160" i="15"/>
  <c r="Q160" i="15"/>
  <c r="R160" i="15"/>
  <c r="S160" i="15"/>
  <c r="T160" i="15"/>
  <c r="U160" i="15"/>
  <c r="A161" i="15"/>
  <c r="B161" i="15"/>
  <c r="C161" i="15"/>
  <c r="D161" i="15"/>
  <c r="E161" i="15"/>
  <c r="F161" i="15"/>
  <c r="G161" i="15"/>
  <c r="H161" i="15"/>
  <c r="I161" i="15"/>
  <c r="J161" i="15"/>
  <c r="K161" i="15"/>
  <c r="L161" i="15"/>
  <c r="M161" i="15"/>
  <c r="N161" i="15"/>
  <c r="O161" i="15"/>
  <c r="P161" i="15"/>
  <c r="Q161" i="15"/>
  <c r="R161" i="15"/>
  <c r="S161" i="15"/>
  <c r="T161" i="15"/>
  <c r="U161" i="15"/>
  <c r="A162" i="15"/>
  <c r="B162" i="15"/>
  <c r="C162" i="15"/>
  <c r="D162" i="15"/>
  <c r="E162" i="15"/>
  <c r="F162" i="15"/>
  <c r="G162" i="15"/>
  <c r="H162" i="15"/>
  <c r="I162" i="15"/>
  <c r="J162" i="15"/>
  <c r="K162" i="15"/>
  <c r="L162" i="15"/>
  <c r="M162" i="15"/>
  <c r="N162" i="15"/>
  <c r="O162" i="15"/>
  <c r="P162" i="15"/>
  <c r="Q162" i="15"/>
  <c r="R162" i="15"/>
  <c r="S162" i="15"/>
  <c r="T162" i="15"/>
  <c r="U162" i="15"/>
  <c r="A163" i="15"/>
  <c r="B163" i="15"/>
  <c r="C163" i="15"/>
  <c r="D163" i="15"/>
  <c r="E163" i="15"/>
  <c r="F163" i="15"/>
  <c r="G163" i="15"/>
  <c r="H163" i="15"/>
  <c r="I163" i="15"/>
  <c r="J163" i="15"/>
  <c r="K163" i="15"/>
  <c r="L163" i="15"/>
  <c r="M163" i="15"/>
  <c r="N163" i="15"/>
  <c r="O163" i="15"/>
  <c r="P163" i="15"/>
  <c r="Q163" i="15"/>
  <c r="R163" i="15"/>
  <c r="S163" i="15"/>
  <c r="T163" i="15"/>
  <c r="U163" i="15"/>
  <c r="A121" i="15"/>
  <c r="B121" i="15"/>
  <c r="C121" i="15"/>
  <c r="D121" i="15"/>
  <c r="E121" i="15"/>
  <c r="F121" i="15"/>
  <c r="G121" i="15"/>
  <c r="H121" i="15"/>
  <c r="I121" i="15"/>
  <c r="J121" i="15"/>
  <c r="K121" i="15"/>
  <c r="L121" i="15"/>
  <c r="M121" i="15"/>
  <c r="N121" i="15"/>
  <c r="O121" i="15"/>
  <c r="P121" i="15"/>
  <c r="Q121" i="15"/>
  <c r="R121" i="15"/>
  <c r="S121" i="15"/>
  <c r="T121" i="15"/>
  <c r="U121" i="15"/>
  <c r="A122" i="15"/>
  <c r="B122" i="15"/>
  <c r="C122" i="15"/>
  <c r="D122" i="15"/>
  <c r="E122" i="15"/>
  <c r="F122" i="15"/>
  <c r="G122" i="15"/>
  <c r="H122" i="15"/>
  <c r="I122" i="15"/>
  <c r="J122" i="15"/>
  <c r="K122" i="15"/>
  <c r="L122" i="15"/>
  <c r="M122" i="15"/>
  <c r="N122" i="15"/>
  <c r="O122" i="15"/>
  <c r="P122" i="15"/>
  <c r="Q122" i="15"/>
  <c r="R122" i="15"/>
  <c r="S122" i="15"/>
  <c r="T122" i="15"/>
  <c r="U122" i="15"/>
  <c r="A123" i="15"/>
  <c r="B123" i="15"/>
  <c r="C123" i="15"/>
  <c r="D123" i="15"/>
  <c r="E123" i="15"/>
  <c r="F123" i="15"/>
  <c r="G123" i="15"/>
  <c r="H123" i="15"/>
  <c r="I123" i="15"/>
  <c r="J123" i="15"/>
  <c r="K123" i="15"/>
  <c r="L123" i="15"/>
  <c r="M123" i="15"/>
  <c r="N123" i="15"/>
  <c r="O123" i="15"/>
  <c r="P123" i="15"/>
  <c r="Q123" i="15"/>
  <c r="R123" i="15"/>
  <c r="S123" i="15"/>
  <c r="T123" i="15"/>
  <c r="U123" i="15"/>
  <c r="A124" i="15"/>
  <c r="B124" i="15"/>
  <c r="C124" i="15"/>
  <c r="D124" i="15"/>
  <c r="E124" i="15"/>
  <c r="F124" i="15"/>
  <c r="G124" i="15"/>
  <c r="H124" i="15"/>
  <c r="I124" i="15"/>
  <c r="J124" i="15"/>
  <c r="K124" i="15"/>
  <c r="L124" i="15"/>
  <c r="M124" i="15"/>
  <c r="N124" i="15"/>
  <c r="O124" i="15"/>
  <c r="P124" i="15"/>
  <c r="Q124" i="15"/>
  <c r="R124" i="15"/>
  <c r="S124" i="15"/>
  <c r="T124" i="15"/>
  <c r="U124" i="15"/>
  <c r="A125" i="15"/>
  <c r="B125" i="15"/>
  <c r="C125" i="15"/>
  <c r="D125" i="15"/>
  <c r="E125" i="15"/>
  <c r="F125" i="15"/>
  <c r="G125" i="15"/>
  <c r="H125" i="15"/>
  <c r="I125" i="15"/>
  <c r="J125" i="15"/>
  <c r="K125" i="15"/>
  <c r="L125" i="15"/>
  <c r="M125" i="15"/>
  <c r="N125" i="15"/>
  <c r="O125" i="15"/>
  <c r="P125" i="15"/>
  <c r="Q125" i="15"/>
  <c r="R125" i="15"/>
  <c r="S125" i="15"/>
  <c r="T125" i="15"/>
  <c r="U125" i="15"/>
  <c r="A130" i="15"/>
  <c r="B130" i="15"/>
  <c r="C130" i="15"/>
  <c r="D130" i="15"/>
  <c r="E130" i="15"/>
  <c r="F130" i="15"/>
  <c r="G130" i="15"/>
  <c r="H130" i="15"/>
  <c r="I130" i="15"/>
  <c r="J130" i="15"/>
  <c r="K130" i="15"/>
  <c r="L130" i="15"/>
  <c r="M130" i="15"/>
  <c r="N130" i="15"/>
  <c r="O130" i="15"/>
  <c r="P130" i="15"/>
  <c r="Q130" i="15"/>
  <c r="R130" i="15"/>
  <c r="S130" i="15"/>
  <c r="T130" i="15"/>
  <c r="U130" i="15"/>
  <c r="A131" i="15"/>
  <c r="B131" i="15"/>
  <c r="C131" i="15"/>
  <c r="D131" i="15"/>
  <c r="E131" i="15"/>
  <c r="F131" i="15"/>
  <c r="G131" i="15"/>
  <c r="H131" i="15"/>
  <c r="I131" i="15"/>
  <c r="J131" i="15"/>
  <c r="K131" i="15"/>
  <c r="L131" i="15"/>
  <c r="M131" i="15"/>
  <c r="N131" i="15"/>
  <c r="O131" i="15"/>
  <c r="P131" i="15"/>
  <c r="Q131" i="15"/>
  <c r="R131" i="15"/>
  <c r="S131" i="15"/>
  <c r="T131" i="15"/>
  <c r="U131" i="15"/>
  <c r="A133" i="15"/>
  <c r="B133" i="15"/>
  <c r="C133" i="15"/>
  <c r="D133" i="15"/>
  <c r="E133" i="15"/>
  <c r="F133" i="15"/>
  <c r="G133" i="15"/>
  <c r="H133" i="15"/>
  <c r="I133" i="15"/>
  <c r="J133" i="15"/>
  <c r="K133" i="15"/>
  <c r="L133" i="15"/>
  <c r="M133" i="15"/>
  <c r="N133" i="15"/>
  <c r="O133" i="15"/>
  <c r="P133" i="15"/>
  <c r="Q133" i="15"/>
  <c r="R133" i="15"/>
  <c r="S133" i="15"/>
  <c r="T133" i="15"/>
  <c r="U133" i="15"/>
  <c r="A134" i="15"/>
  <c r="B134" i="15"/>
  <c r="C134" i="15"/>
  <c r="D134" i="15"/>
  <c r="E134" i="15"/>
  <c r="F134" i="15"/>
  <c r="G134" i="15"/>
  <c r="H134" i="15"/>
  <c r="I134" i="15"/>
  <c r="J134" i="15"/>
  <c r="K134" i="15"/>
  <c r="L134" i="15"/>
  <c r="M134" i="15"/>
  <c r="N134" i="15"/>
  <c r="O134" i="15"/>
  <c r="P134" i="15"/>
  <c r="Q134" i="15"/>
  <c r="R134" i="15"/>
  <c r="S134" i="15"/>
  <c r="T134" i="15"/>
  <c r="U134" i="15"/>
  <c r="A135" i="15"/>
  <c r="B135" i="15"/>
  <c r="C135" i="15"/>
  <c r="D135" i="15"/>
  <c r="E135" i="15"/>
  <c r="F135" i="15"/>
  <c r="G135" i="15"/>
  <c r="H135" i="15"/>
  <c r="I135" i="15"/>
  <c r="J135" i="15"/>
  <c r="K135" i="15"/>
  <c r="L135" i="15"/>
  <c r="M135" i="15"/>
  <c r="N135" i="15"/>
  <c r="O135" i="15"/>
  <c r="P135" i="15"/>
  <c r="Q135" i="15"/>
  <c r="R135" i="15"/>
  <c r="S135" i="15"/>
  <c r="T135" i="15"/>
  <c r="U135" i="15"/>
  <c r="A136" i="15"/>
  <c r="B136" i="15"/>
  <c r="C136" i="15"/>
  <c r="D136" i="15"/>
  <c r="E136" i="15"/>
  <c r="F136" i="15"/>
  <c r="G136" i="15"/>
  <c r="H136" i="15"/>
  <c r="I136" i="15"/>
  <c r="J136" i="15"/>
  <c r="K136" i="15"/>
  <c r="L136" i="15"/>
  <c r="M136" i="15"/>
  <c r="N136" i="15"/>
  <c r="O136" i="15"/>
  <c r="P136" i="15"/>
  <c r="Q136" i="15"/>
  <c r="R136" i="15"/>
  <c r="S136" i="15"/>
  <c r="T136" i="15"/>
  <c r="U136" i="15"/>
  <c r="A137" i="15"/>
  <c r="B137" i="15"/>
  <c r="C137" i="15"/>
  <c r="D137" i="15"/>
  <c r="E137" i="15"/>
  <c r="F137" i="15"/>
  <c r="G137" i="15"/>
  <c r="H137" i="15"/>
  <c r="I137" i="15"/>
  <c r="J137" i="15"/>
  <c r="K137" i="15"/>
  <c r="L137" i="15"/>
  <c r="M137" i="15"/>
  <c r="N137" i="15"/>
  <c r="O137" i="15"/>
  <c r="P137" i="15"/>
  <c r="Q137" i="15"/>
  <c r="R137" i="15"/>
  <c r="S137" i="15"/>
  <c r="T137" i="15"/>
  <c r="U137" i="15"/>
  <c r="A113" i="15"/>
  <c r="B113" i="15"/>
  <c r="C113" i="15"/>
  <c r="D113" i="15"/>
  <c r="E113" i="15"/>
  <c r="F113" i="15"/>
  <c r="G113" i="15"/>
  <c r="H113" i="15"/>
  <c r="I113" i="15"/>
  <c r="J113" i="15"/>
  <c r="K113" i="15"/>
  <c r="L113" i="15"/>
  <c r="M113" i="15"/>
  <c r="N113" i="15"/>
  <c r="O113" i="15"/>
  <c r="P113" i="15"/>
  <c r="Q113" i="15"/>
  <c r="R113" i="15"/>
  <c r="S113" i="15"/>
  <c r="T113" i="15"/>
  <c r="U113" i="15"/>
  <c r="A103" i="15"/>
  <c r="B103" i="15"/>
  <c r="C103" i="15"/>
  <c r="D103" i="15"/>
  <c r="E103" i="15"/>
  <c r="F103" i="15"/>
  <c r="G103" i="15"/>
  <c r="H103" i="15"/>
  <c r="I103" i="15"/>
  <c r="J103" i="15"/>
  <c r="K103" i="15"/>
  <c r="L103" i="15"/>
  <c r="M103" i="15"/>
  <c r="N103" i="15"/>
  <c r="O103" i="15"/>
  <c r="P103" i="15"/>
  <c r="Q103" i="15"/>
  <c r="R103" i="15"/>
  <c r="S103" i="15"/>
  <c r="T103" i="15"/>
  <c r="U103" i="15"/>
  <c r="A104" i="15"/>
  <c r="B104" i="15"/>
  <c r="C104" i="15"/>
  <c r="D104" i="15"/>
  <c r="E104" i="15"/>
  <c r="F104" i="15"/>
  <c r="G104" i="15"/>
  <c r="H104" i="15"/>
  <c r="I104" i="15"/>
  <c r="J104" i="15"/>
  <c r="K104" i="15"/>
  <c r="L104" i="15"/>
  <c r="M104" i="15"/>
  <c r="N104" i="15"/>
  <c r="O104" i="15"/>
  <c r="P104" i="15"/>
  <c r="Q104" i="15"/>
  <c r="R104" i="15"/>
  <c r="S104" i="15"/>
  <c r="T104" i="15"/>
  <c r="U104" i="15"/>
  <c r="A105" i="15"/>
  <c r="B105" i="15"/>
  <c r="C105" i="15"/>
  <c r="D105" i="15"/>
  <c r="E105" i="15"/>
  <c r="F105" i="15"/>
  <c r="G105" i="15"/>
  <c r="H105" i="15"/>
  <c r="I105" i="15"/>
  <c r="J105" i="15"/>
  <c r="K105" i="15"/>
  <c r="L105" i="15"/>
  <c r="M105" i="15"/>
  <c r="N105" i="15"/>
  <c r="O105" i="15"/>
  <c r="P105" i="15"/>
  <c r="Q105" i="15"/>
  <c r="R105" i="15"/>
  <c r="S105" i="15"/>
  <c r="T105" i="15"/>
  <c r="U105" i="15"/>
  <c r="A106" i="15"/>
  <c r="B106" i="15"/>
  <c r="C106" i="15"/>
  <c r="D106" i="15"/>
  <c r="E106" i="15"/>
  <c r="F106" i="15"/>
  <c r="G106" i="15"/>
  <c r="H106" i="15"/>
  <c r="I106" i="15"/>
  <c r="J106" i="15"/>
  <c r="K106" i="15"/>
  <c r="L106" i="15"/>
  <c r="M106" i="15"/>
  <c r="N106" i="15"/>
  <c r="O106" i="15"/>
  <c r="P106" i="15"/>
  <c r="Q106" i="15"/>
  <c r="R106" i="15"/>
  <c r="S106" i="15"/>
  <c r="T106" i="15"/>
  <c r="U106" i="15"/>
  <c r="A107" i="15"/>
  <c r="B107" i="15"/>
  <c r="C107" i="15"/>
  <c r="D107" i="15"/>
  <c r="E107" i="15"/>
  <c r="F107" i="15"/>
  <c r="G107" i="15"/>
  <c r="H107" i="15"/>
  <c r="I107" i="15"/>
  <c r="J107" i="15"/>
  <c r="K107" i="15"/>
  <c r="L107" i="15"/>
  <c r="M107" i="15"/>
  <c r="N107" i="15"/>
  <c r="O107" i="15"/>
  <c r="P107" i="15"/>
  <c r="Q107" i="15"/>
  <c r="R107" i="15"/>
  <c r="S107" i="15"/>
  <c r="T107" i="15"/>
  <c r="U107" i="15"/>
  <c r="A108" i="15"/>
  <c r="B108" i="15"/>
  <c r="C108" i="15"/>
  <c r="D108" i="15"/>
  <c r="E108" i="15"/>
  <c r="F108" i="15"/>
  <c r="G108" i="15"/>
  <c r="H108" i="15"/>
  <c r="I108" i="15"/>
  <c r="J108" i="15"/>
  <c r="K108" i="15"/>
  <c r="L108" i="15"/>
  <c r="M108" i="15"/>
  <c r="N108" i="15"/>
  <c r="O108" i="15"/>
  <c r="P108" i="15"/>
  <c r="Q108" i="15"/>
  <c r="R108" i="15"/>
  <c r="S108" i="15"/>
  <c r="T108" i="15"/>
  <c r="U108" i="15"/>
  <c r="A109" i="15"/>
  <c r="B109" i="15"/>
  <c r="C109" i="15"/>
  <c r="D109" i="15"/>
  <c r="E109" i="15"/>
  <c r="F109" i="15"/>
  <c r="G109" i="15"/>
  <c r="H109" i="15"/>
  <c r="I109" i="15"/>
  <c r="J109" i="15"/>
  <c r="K109" i="15"/>
  <c r="L109" i="15"/>
  <c r="M109" i="15"/>
  <c r="N109" i="15"/>
  <c r="O109" i="15"/>
  <c r="P109" i="15"/>
  <c r="Q109" i="15"/>
  <c r="R109" i="15"/>
  <c r="S109" i="15"/>
  <c r="T109" i="15"/>
  <c r="U109" i="15"/>
  <c r="A110" i="15"/>
  <c r="B110" i="15"/>
  <c r="C110" i="15"/>
  <c r="D110" i="15"/>
  <c r="E110" i="15"/>
  <c r="F110" i="15"/>
  <c r="G110" i="15"/>
  <c r="H110" i="15"/>
  <c r="I110" i="15"/>
  <c r="J110" i="15"/>
  <c r="K110" i="15"/>
  <c r="L110" i="15"/>
  <c r="M110" i="15"/>
  <c r="N110" i="15"/>
  <c r="O110" i="15"/>
  <c r="P110" i="15"/>
  <c r="Q110" i="15"/>
  <c r="R110" i="15"/>
  <c r="S110" i="15"/>
  <c r="T110" i="15"/>
  <c r="U110" i="15"/>
  <c r="A111" i="15"/>
  <c r="B111" i="15"/>
  <c r="C111" i="15"/>
  <c r="D111" i="15"/>
  <c r="E111" i="15"/>
  <c r="F111" i="15"/>
  <c r="G111" i="15"/>
  <c r="H111" i="15"/>
  <c r="I111" i="15"/>
  <c r="J111" i="15"/>
  <c r="K111" i="15"/>
  <c r="L111" i="15"/>
  <c r="M111" i="15"/>
  <c r="N111" i="15"/>
  <c r="O111" i="15"/>
  <c r="P111" i="15"/>
  <c r="Q111" i="15"/>
  <c r="R111" i="15"/>
  <c r="S111" i="15"/>
  <c r="T111" i="15"/>
  <c r="U111" i="15"/>
  <c r="A112" i="15"/>
  <c r="B112" i="15"/>
  <c r="C112" i="15"/>
  <c r="D112" i="15"/>
  <c r="E112" i="15"/>
  <c r="F112" i="15"/>
  <c r="G112" i="15"/>
  <c r="H112" i="15"/>
  <c r="I112" i="15"/>
  <c r="J112" i="15"/>
  <c r="K112" i="15"/>
  <c r="L112" i="15"/>
  <c r="M112" i="15"/>
  <c r="N112" i="15"/>
  <c r="O112" i="15"/>
  <c r="P112" i="15"/>
  <c r="Q112" i="15"/>
  <c r="R112" i="15"/>
  <c r="S112" i="15"/>
  <c r="T112" i="15"/>
  <c r="U112" i="15"/>
  <c r="A78" i="15"/>
  <c r="B78" i="15"/>
  <c r="C78" i="15"/>
  <c r="D78" i="15"/>
  <c r="E78" i="15"/>
  <c r="F78" i="15"/>
  <c r="G78" i="15"/>
  <c r="H78" i="15"/>
  <c r="I78" i="15"/>
  <c r="J78" i="15"/>
  <c r="K78" i="15"/>
  <c r="L78" i="15"/>
  <c r="M78" i="15"/>
  <c r="N78" i="15"/>
  <c r="O78" i="15"/>
  <c r="P78" i="15"/>
  <c r="Q78" i="15"/>
  <c r="R78" i="15"/>
  <c r="S78" i="15"/>
  <c r="T78" i="15"/>
  <c r="U78" i="15"/>
  <c r="A79" i="15"/>
  <c r="B79" i="15"/>
  <c r="C79" i="15"/>
  <c r="D79" i="15"/>
  <c r="E79" i="15"/>
  <c r="F79" i="15"/>
  <c r="G79" i="15"/>
  <c r="H79" i="15"/>
  <c r="I79" i="15"/>
  <c r="J79" i="15"/>
  <c r="K79" i="15"/>
  <c r="L79" i="15"/>
  <c r="M79" i="15"/>
  <c r="N79" i="15"/>
  <c r="O79" i="15"/>
  <c r="P79" i="15"/>
  <c r="Q79" i="15"/>
  <c r="R79" i="15"/>
  <c r="S79" i="15"/>
  <c r="T79" i="15"/>
  <c r="U79" i="15"/>
  <c r="A80" i="15"/>
  <c r="B80" i="15"/>
  <c r="C80" i="15"/>
  <c r="D80" i="15"/>
  <c r="E80" i="15"/>
  <c r="F80" i="15"/>
  <c r="G80" i="15"/>
  <c r="H80" i="15"/>
  <c r="I80" i="15"/>
  <c r="J80" i="15"/>
  <c r="K80" i="15"/>
  <c r="L80" i="15"/>
  <c r="M80" i="15"/>
  <c r="N80" i="15"/>
  <c r="O80" i="15"/>
  <c r="P80" i="15"/>
  <c r="Q80" i="15"/>
  <c r="R80" i="15"/>
  <c r="S80" i="15"/>
  <c r="T80" i="15"/>
  <c r="U80" i="15"/>
  <c r="A81" i="15"/>
  <c r="B81" i="15"/>
  <c r="C81" i="15"/>
  <c r="D81" i="15"/>
  <c r="E81" i="15"/>
  <c r="F81" i="15"/>
  <c r="G81" i="15"/>
  <c r="H81" i="15"/>
  <c r="I81" i="15"/>
  <c r="J81" i="15"/>
  <c r="K81" i="15"/>
  <c r="L81" i="15"/>
  <c r="M81" i="15"/>
  <c r="N81" i="15"/>
  <c r="O81" i="15"/>
  <c r="P81" i="15"/>
  <c r="Q81" i="15"/>
  <c r="R81" i="15"/>
  <c r="S81" i="15"/>
  <c r="T81" i="15"/>
  <c r="U81" i="15"/>
  <c r="A82" i="15"/>
  <c r="B82" i="15"/>
  <c r="C82" i="15"/>
  <c r="D82" i="15"/>
  <c r="E82" i="15"/>
  <c r="F82" i="15"/>
  <c r="G82" i="15"/>
  <c r="H82" i="15"/>
  <c r="I82" i="15"/>
  <c r="J82" i="15"/>
  <c r="K82" i="15"/>
  <c r="L82" i="15"/>
  <c r="M82" i="15"/>
  <c r="N82" i="15"/>
  <c r="O82" i="15"/>
  <c r="P82" i="15"/>
  <c r="Q82" i="15"/>
  <c r="R82" i="15"/>
  <c r="S82" i="15"/>
  <c r="T82" i="15"/>
  <c r="U82" i="15"/>
  <c r="A83" i="15"/>
  <c r="B83" i="15"/>
  <c r="C83" i="15"/>
  <c r="D83" i="15"/>
  <c r="E83" i="15"/>
  <c r="F83" i="15"/>
  <c r="G83" i="15"/>
  <c r="H83" i="15"/>
  <c r="I83" i="15"/>
  <c r="J83" i="15"/>
  <c r="K83" i="15"/>
  <c r="L83" i="15"/>
  <c r="M83" i="15"/>
  <c r="N83" i="15"/>
  <c r="O83" i="15"/>
  <c r="P83" i="15"/>
  <c r="Q83" i="15"/>
  <c r="R83" i="15"/>
  <c r="S83" i="15"/>
  <c r="T83" i="15"/>
  <c r="U83" i="15"/>
  <c r="A84" i="15"/>
  <c r="B84" i="15"/>
  <c r="C84" i="15"/>
  <c r="D84" i="15"/>
  <c r="E84" i="15"/>
  <c r="F84" i="15"/>
  <c r="G84" i="15"/>
  <c r="H84" i="15"/>
  <c r="I84" i="15"/>
  <c r="J84" i="15"/>
  <c r="K84" i="15"/>
  <c r="L84" i="15"/>
  <c r="M84" i="15"/>
  <c r="N84" i="15"/>
  <c r="O84" i="15"/>
  <c r="P84" i="15"/>
  <c r="Q84" i="15"/>
  <c r="R84" i="15"/>
  <c r="S84" i="15"/>
  <c r="T84" i="15"/>
  <c r="U84" i="15"/>
  <c r="A47" i="15"/>
  <c r="B47" i="15"/>
  <c r="C47" i="15"/>
  <c r="D47" i="15"/>
  <c r="E47" i="15"/>
  <c r="F47" i="15"/>
  <c r="G47" i="15"/>
  <c r="H47" i="15"/>
  <c r="I47" i="15"/>
  <c r="J47" i="15"/>
  <c r="K47" i="15"/>
  <c r="L47" i="15"/>
  <c r="M47" i="15"/>
  <c r="N47" i="15"/>
  <c r="O47" i="15"/>
  <c r="P47" i="15"/>
  <c r="Q47" i="15"/>
  <c r="R47" i="15"/>
  <c r="S47" i="15"/>
  <c r="T47" i="15"/>
  <c r="U47" i="15"/>
  <c r="A42" i="15"/>
  <c r="B42" i="15"/>
  <c r="C42" i="15"/>
  <c r="D42" i="15"/>
  <c r="E42" i="15"/>
  <c r="F42" i="15"/>
  <c r="G42" i="15"/>
  <c r="H42" i="15"/>
  <c r="I42" i="15"/>
  <c r="J42" i="15"/>
  <c r="K42" i="15"/>
  <c r="L42" i="15"/>
  <c r="M42" i="15"/>
  <c r="N42" i="15"/>
  <c r="O42" i="15"/>
  <c r="P42" i="15"/>
  <c r="Q42" i="15"/>
  <c r="R42" i="15"/>
  <c r="S42" i="15"/>
  <c r="T42" i="15"/>
  <c r="U42" i="15"/>
  <c r="A46" i="15"/>
  <c r="B46" i="15"/>
  <c r="C46" i="15"/>
  <c r="D46" i="15"/>
  <c r="E46" i="15"/>
  <c r="F46" i="15"/>
  <c r="G46" i="15"/>
  <c r="H46" i="15"/>
  <c r="I46" i="15"/>
  <c r="J46" i="15"/>
  <c r="K46" i="15"/>
  <c r="L46" i="15"/>
  <c r="M46" i="15"/>
  <c r="N46" i="15"/>
  <c r="O46" i="15"/>
  <c r="P46" i="15"/>
  <c r="Q46" i="15"/>
  <c r="R46" i="15"/>
  <c r="S46" i="15"/>
  <c r="T46" i="15"/>
  <c r="U46" i="15"/>
  <c r="A48" i="15"/>
  <c r="B48" i="15"/>
  <c r="C48" i="15"/>
  <c r="D48" i="15"/>
  <c r="E48" i="15"/>
  <c r="F48" i="15"/>
  <c r="G48" i="15"/>
  <c r="H48" i="15"/>
  <c r="I48" i="15"/>
  <c r="J48" i="15"/>
  <c r="K48" i="15"/>
  <c r="L48" i="15"/>
  <c r="M48" i="15"/>
  <c r="N48" i="15"/>
  <c r="O48" i="15"/>
  <c r="P48" i="15"/>
  <c r="Q48" i="15"/>
  <c r="R48" i="15"/>
  <c r="S48" i="15"/>
  <c r="T48" i="15"/>
  <c r="U48" i="15"/>
  <c r="A49" i="15"/>
  <c r="B49" i="15"/>
  <c r="C49" i="15"/>
  <c r="D49" i="15"/>
  <c r="E49" i="15"/>
  <c r="F49" i="15"/>
  <c r="G49" i="15"/>
  <c r="H49" i="15"/>
  <c r="I49" i="15"/>
  <c r="J49" i="15"/>
  <c r="K49" i="15"/>
  <c r="L49" i="15"/>
  <c r="M49" i="15"/>
  <c r="N49" i="15"/>
  <c r="O49" i="15"/>
  <c r="P49" i="15"/>
  <c r="Q49" i="15"/>
  <c r="R49" i="15"/>
  <c r="S49" i="15"/>
  <c r="T49" i="15"/>
  <c r="U49" i="15"/>
  <c r="A50" i="15"/>
  <c r="B50" i="15"/>
  <c r="C50" i="15"/>
  <c r="D50" i="15"/>
  <c r="E50" i="15"/>
  <c r="F50" i="15"/>
  <c r="G50" i="15"/>
  <c r="H50" i="15"/>
  <c r="I50" i="15"/>
  <c r="J50" i="15"/>
  <c r="K50" i="15"/>
  <c r="L50" i="15"/>
  <c r="M50" i="15"/>
  <c r="N50" i="15"/>
  <c r="O50" i="15"/>
  <c r="P50" i="15"/>
  <c r="Q50" i="15"/>
  <c r="R50" i="15"/>
  <c r="S50" i="15"/>
  <c r="T50" i="15"/>
  <c r="U50" i="15"/>
  <c r="A52" i="15"/>
  <c r="B52" i="15"/>
  <c r="C52" i="15"/>
  <c r="D52" i="15"/>
  <c r="E52" i="15"/>
  <c r="F52" i="15"/>
  <c r="G52" i="15"/>
  <c r="H52" i="15"/>
  <c r="I52" i="15"/>
  <c r="J52" i="15"/>
  <c r="K52" i="15"/>
  <c r="L52" i="15"/>
  <c r="M52" i="15"/>
  <c r="N52" i="15"/>
  <c r="O52" i="15"/>
  <c r="P52" i="15"/>
  <c r="Q52" i="15"/>
  <c r="R52" i="15"/>
  <c r="S52" i="15"/>
  <c r="T52" i="15"/>
  <c r="U52" i="15"/>
  <c r="A53" i="15"/>
  <c r="B53" i="15"/>
  <c r="C53" i="15"/>
  <c r="D53" i="15"/>
  <c r="E53" i="15"/>
  <c r="F53" i="15"/>
  <c r="G53" i="15"/>
  <c r="H53" i="15"/>
  <c r="I53" i="15"/>
  <c r="J53" i="15"/>
  <c r="K53" i="15"/>
  <c r="L53" i="15"/>
  <c r="M53" i="15"/>
  <c r="N53" i="15"/>
  <c r="O53" i="15"/>
  <c r="P53" i="15"/>
  <c r="Q53" i="15"/>
  <c r="R53" i="15"/>
  <c r="S53" i="15"/>
  <c r="T53" i="15"/>
  <c r="U53" i="15"/>
  <c r="A54" i="15"/>
  <c r="B54" i="15"/>
  <c r="C54" i="15"/>
  <c r="D54" i="15"/>
  <c r="E54" i="15"/>
  <c r="F54" i="15"/>
  <c r="G54" i="15"/>
  <c r="H54" i="15"/>
  <c r="I54" i="15"/>
  <c r="J54" i="15"/>
  <c r="K54" i="15"/>
  <c r="L54" i="15"/>
  <c r="M54" i="15"/>
  <c r="N54" i="15"/>
  <c r="O54" i="15"/>
  <c r="P54" i="15"/>
  <c r="Q54" i="15"/>
  <c r="R54" i="15"/>
  <c r="S54" i="15"/>
  <c r="T54" i="15"/>
  <c r="U54" i="15"/>
  <c r="A55" i="15"/>
  <c r="B55" i="15"/>
  <c r="C55" i="15"/>
  <c r="D55" i="15"/>
  <c r="E55" i="15"/>
  <c r="F55" i="15"/>
  <c r="G55" i="15"/>
  <c r="H55" i="15"/>
  <c r="I55" i="15"/>
  <c r="J55" i="15"/>
  <c r="K55" i="15"/>
  <c r="L55" i="15"/>
  <c r="M55" i="15"/>
  <c r="N55" i="15"/>
  <c r="O55" i="15"/>
  <c r="P55" i="15"/>
  <c r="Q55" i="15"/>
  <c r="R55" i="15"/>
  <c r="S55" i="15"/>
  <c r="T55" i="15"/>
  <c r="U55" i="15"/>
  <c r="A56" i="15"/>
  <c r="B56" i="15"/>
  <c r="C56" i="15"/>
  <c r="D56" i="15"/>
  <c r="E56" i="15"/>
  <c r="F56" i="15"/>
  <c r="G56" i="15"/>
  <c r="H56" i="15"/>
  <c r="I56" i="15"/>
  <c r="J56" i="15"/>
  <c r="K56" i="15"/>
  <c r="L56" i="15"/>
  <c r="M56" i="15"/>
  <c r="N56" i="15"/>
  <c r="O56" i="15"/>
  <c r="P56" i="15"/>
  <c r="Q56" i="15"/>
  <c r="R56" i="15"/>
  <c r="S56" i="15"/>
  <c r="T56" i="15"/>
  <c r="U56" i="15"/>
  <c r="A57" i="15"/>
  <c r="B57" i="15"/>
  <c r="C57" i="15"/>
  <c r="D57" i="15"/>
  <c r="E57" i="15"/>
  <c r="F57" i="15"/>
  <c r="G57" i="15"/>
  <c r="H57" i="15"/>
  <c r="I57" i="15"/>
  <c r="J57" i="15"/>
  <c r="K57" i="15"/>
  <c r="L57" i="15"/>
  <c r="M57" i="15"/>
  <c r="N57" i="15"/>
  <c r="O57" i="15"/>
  <c r="P57" i="15"/>
  <c r="Q57" i="15"/>
  <c r="R57" i="15"/>
  <c r="S57" i="15"/>
  <c r="T57" i="15"/>
  <c r="U57" i="15"/>
  <c r="A58" i="15"/>
  <c r="B58" i="15"/>
  <c r="C58" i="15"/>
  <c r="D58" i="15"/>
  <c r="E58" i="15"/>
  <c r="F58" i="15"/>
  <c r="G58" i="15"/>
  <c r="H58" i="15"/>
  <c r="I58" i="15"/>
  <c r="J58" i="15"/>
  <c r="K58" i="15"/>
  <c r="L58" i="15"/>
  <c r="M58" i="15"/>
  <c r="N58" i="15"/>
  <c r="O58" i="15"/>
  <c r="P58" i="15"/>
  <c r="Q58" i="15"/>
  <c r="R58" i="15"/>
  <c r="S58" i="15"/>
  <c r="T58" i="15"/>
  <c r="U58" i="15"/>
  <c r="B38" i="15"/>
  <c r="B39" i="15"/>
  <c r="B40" i="15"/>
  <c r="A39" i="15"/>
  <c r="C39" i="15"/>
  <c r="D39" i="15"/>
  <c r="E39" i="15"/>
  <c r="F39" i="15"/>
  <c r="G39" i="15"/>
  <c r="H39" i="15"/>
  <c r="I39" i="15"/>
  <c r="J39" i="15"/>
  <c r="K39" i="15"/>
  <c r="L39" i="15"/>
  <c r="M39" i="15"/>
  <c r="N39" i="15"/>
  <c r="O39" i="15"/>
  <c r="P39" i="15"/>
  <c r="Q39" i="15"/>
  <c r="R39" i="15"/>
  <c r="S39" i="15"/>
  <c r="T39" i="15"/>
  <c r="U39" i="15"/>
  <c r="A40" i="15"/>
  <c r="C40" i="15"/>
  <c r="D40" i="15"/>
  <c r="E40" i="15"/>
  <c r="F40" i="15"/>
  <c r="G40" i="15"/>
  <c r="H40" i="15"/>
  <c r="I40" i="15"/>
  <c r="J40" i="15"/>
  <c r="K40" i="15"/>
  <c r="L40" i="15"/>
  <c r="M40" i="15"/>
  <c r="N40" i="15"/>
  <c r="O40" i="15"/>
  <c r="P40" i="15"/>
  <c r="Q40" i="15"/>
  <c r="R40" i="15"/>
  <c r="S40" i="15"/>
  <c r="T40" i="15"/>
  <c r="U40" i="15"/>
  <c r="A41" i="15"/>
  <c r="C41" i="15"/>
  <c r="D41" i="15"/>
  <c r="E41" i="15"/>
  <c r="F41" i="15"/>
  <c r="G41" i="15"/>
  <c r="H41" i="15"/>
  <c r="I41" i="15"/>
  <c r="J41" i="15"/>
  <c r="K41" i="15"/>
  <c r="L41" i="15"/>
  <c r="M41" i="15"/>
  <c r="N41" i="15"/>
  <c r="O41" i="15"/>
  <c r="P41" i="15"/>
  <c r="Q41" i="15"/>
  <c r="R41" i="15"/>
  <c r="S41" i="15"/>
  <c r="T41" i="15"/>
  <c r="U41" i="15"/>
  <c r="A23" i="15"/>
  <c r="A24" i="15"/>
  <c r="A25" i="15"/>
  <c r="A26" i="15"/>
  <c r="A27" i="15"/>
  <c r="A28" i="15"/>
  <c r="C19" i="15"/>
  <c r="D19" i="15"/>
  <c r="E19" i="15"/>
  <c r="F19" i="15"/>
  <c r="G19" i="15"/>
  <c r="H19" i="15"/>
  <c r="I19" i="15"/>
  <c r="J19" i="15"/>
  <c r="K19" i="15"/>
  <c r="L19" i="15"/>
  <c r="M19" i="15"/>
  <c r="N19" i="15"/>
  <c r="O19" i="15"/>
  <c r="P19" i="15"/>
  <c r="Q19" i="15"/>
  <c r="R19" i="15"/>
  <c r="S19" i="15"/>
  <c r="T19" i="15"/>
  <c r="U19" i="15"/>
  <c r="B23" i="15"/>
  <c r="C23" i="15"/>
  <c r="D23" i="15"/>
  <c r="E23" i="15"/>
  <c r="F23" i="15"/>
  <c r="G23" i="15"/>
  <c r="H23" i="15"/>
  <c r="I23" i="15"/>
  <c r="J23" i="15"/>
  <c r="K23" i="15"/>
  <c r="L23" i="15"/>
  <c r="M23" i="15"/>
  <c r="N23" i="15"/>
  <c r="O23" i="15"/>
  <c r="P23" i="15"/>
  <c r="Q23" i="15"/>
  <c r="R23" i="15"/>
  <c r="S23" i="15"/>
  <c r="T23" i="15"/>
  <c r="U23" i="15"/>
  <c r="B24" i="15"/>
  <c r="C24" i="15"/>
  <c r="D24" i="15"/>
  <c r="E24" i="15"/>
  <c r="F24" i="15"/>
  <c r="G24" i="15"/>
  <c r="H24" i="15"/>
  <c r="I24" i="15"/>
  <c r="J24" i="15"/>
  <c r="K24" i="15"/>
  <c r="L24" i="15"/>
  <c r="M24" i="15"/>
  <c r="N24" i="15"/>
  <c r="O24" i="15"/>
  <c r="P24" i="15"/>
  <c r="Q24" i="15"/>
  <c r="R24" i="15"/>
  <c r="S24" i="15"/>
  <c r="T24" i="15"/>
  <c r="U24" i="15"/>
  <c r="B25" i="15"/>
  <c r="C25" i="15"/>
  <c r="D25" i="15"/>
  <c r="E25" i="15"/>
  <c r="F25" i="15"/>
  <c r="G25" i="15"/>
  <c r="H25" i="15"/>
  <c r="I25" i="15"/>
  <c r="J25" i="15"/>
  <c r="K25" i="15"/>
  <c r="L25" i="15"/>
  <c r="M25" i="15"/>
  <c r="N25" i="15"/>
  <c r="O25" i="15"/>
  <c r="P25" i="15"/>
  <c r="Q25" i="15"/>
  <c r="R25" i="15"/>
  <c r="S25" i="15"/>
  <c r="T25" i="15"/>
  <c r="U25" i="15"/>
  <c r="B26" i="15"/>
  <c r="C26" i="15"/>
  <c r="D26" i="15"/>
  <c r="E26" i="15"/>
  <c r="F26" i="15"/>
  <c r="G26" i="15"/>
  <c r="H26" i="15"/>
  <c r="I26" i="15"/>
  <c r="J26" i="15"/>
  <c r="K26" i="15"/>
  <c r="L26" i="15"/>
  <c r="M26" i="15"/>
  <c r="N26" i="15"/>
  <c r="O26" i="15"/>
  <c r="P26" i="15"/>
  <c r="Q26" i="15"/>
  <c r="R26" i="15"/>
  <c r="S26" i="15"/>
  <c r="T26" i="15"/>
  <c r="U26" i="15"/>
  <c r="B27" i="15"/>
  <c r="C27" i="15"/>
  <c r="D27" i="15"/>
  <c r="E27" i="15"/>
  <c r="F27" i="15"/>
  <c r="G27" i="15"/>
  <c r="H27" i="15"/>
  <c r="I27" i="15"/>
  <c r="J27" i="15"/>
  <c r="K27" i="15"/>
  <c r="L27" i="15"/>
  <c r="M27" i="15"/>
  <c r="N27" i="15"/>
  <c r="O27" i="15"/>
  <c r="P27" i="15"/>
  <c r="Q27" i="15"/>
  <c r="R27" i="15"/>
  <c r="S27" i="15"/>
  <c r="T27" i="15"/>
  <c r="U27" i="15"/>
  <c r="B28" i="15"/>
  <c r="C28" i="15"/>
  <c r="D28" i="15"/>
  <c r="E28" i="15"/>
  <c r="F28" i="15"/>
  <c r="G28" i="15"/>
  <c r="H28" i="15"/>
  <c r="I28" i="15"/>
  <c r="J28" i="15"/>
  <c r="K28" i="15"/>
  <c r="L28" i="15"/>
  <c r="M28" i="15"/>
  <c r="N28" i="15"/>
  <c r="O28" i="15"/>
  <c r="P28" i="15"/>
  <c r="Q28" i="15"/>
  <c r="R28" i="15"/>
  <c r="S28" i="15"/>
  <c r="T28" i="15"/>
  <c r="U28" i="15"/>
  <c r="B71" i="15"/>
  <c r="B72" i="15"/>
  <c r="B73" i="15"/>
  <c r="A18" i="15"/>
  <c r="B18" i="15"/>
  <c r="C18" i="15"/>
  <c r="D18" i="15"/>
  <c r="E18" i="15"/>
  <c r="F18" i="15"/>
  <c r="G18" i="15"/>
  <c r="H18" i="15"/>
  <c r="I18" i="15"/>
  <c r="J18" i="15"/>
  <c r="K18" i="15"/>
  <c r="L18" i="15"/>
  <c r="M18" i="15"/>
  <c r="N18" i="15"/>
  <c r="O18" i="15"/>
  <c r="P18" i="15"/>
  <c r="Q18" i="15"/>
  <c r="R18" i="15"/>
  <c r="S18" i="15"/>
  <c r="T18" i="15"/>
  <c r="U18" i="15"/>
  <c r="C5" i="16"/>
  <c r="C2" i="16"/>
  <c r="C6" i="16"/>
  <c r="C3" i="16"/>
  <c r="A60" i="15"/>
  <c r="B60" i="15"/>
  <c r="C60" i="15"/>
  <c r="D60" i="15"/>
  <c r="E60" i="15"/>
  <c r="F60" i="15"/>
  <c r="G60" i="15"/>
  <c r="H60" i="15"/>
  <c r="I60" i="15"/>
  <c r="J60" i="15"/>
  <c r="K60" i="15"/>
  <c r="L60" i="15"/>
  <c r="M60" i="15"/>
  <c r="N60" i="15"/>
  <c r="O60" i="15"/>
  <c r="P60" i="15"/>
  <c r="Q60" i="15"/>
  <c r="R60" i="15"/>
  <c r="S60" i="15"/>
  <c r="T60" i="15"/>
  <c r="U60" i="15"/>
  <c r="A61" i="15"/>
  <c r="C61" i="15"/>
  <c r="D61" i="15"/>
  <c r="E61" i="15"/>
  <c r="F61" i="15"/>
  <c r="G61" i="15"/>
  <c r="H61" i="15"/>
  <c r="I61" i="15"/>
  <c r="J61" i="15"/>
  <c r="K61" i="15"/>
  <c r="L61" i="15"/>
  <c r="M61" i="15"/>
  <c r="N61" i="15"/>
  <c r="O61" i="15"/>
  <c r="P61" i="15"/>
  <c r="Q61" i="15"/>
  <c r="R61" i="15"/>
  <c r="S61" i="15"/>
  <c r="T61" i="15"/>
  <c r="U61" i="15"/>
  <c r="C72" i="15"/>
  <c r="D72" i="15"/>
  <c r="E72" i="15"/>
  <c r="F72" i="15"/>
  <c r="G72" i="15"/>
  <c r="H72" i="15"/>
  <c r="I72" i="15"/>
  <c r="J72" i="15"/>
  <c r="K72" i="15"/>
  <c r="L72" i="15"/>
  <c r="M72" i="15"/>
  <c r="N72" i="15"/>
  <c r="O72" i="15"/>
  <c r="P72" i="15"/>
  <c r="Q72" i="15"/>
  <c r="R72" i="15"/>
  <c r="S72" i="15"/>
  <c r="T72" i="15"/>
  <c r="U72" i="15"/>
  <c r="C73" i="15"/>
  <c r="D73" i="15"/>
  <c r="E73" i="15"/>
  <c r="F73" i="15"/>
  <c r="G73" i="15"/>
  <c r="H73" i="15"/>
  <c r="I73" i="15"/>
  <c r="J73" i="15"/>
  <c r="K73" i="15"/>
  <c r="L73" i="15"/>
  <c r="M73" i="15"/>
  <c r="N73" i="15"/>
  <c r="O73" i="15"/>
  <c r="P73" i="15"/>
  <c r="Q73" i="15"/>
  <c r="R73" i="15"/>
  <c r="S73" i="15"/>
  <c r="T73" i="15"/>
  <c r="U73" i="15"/>
  <c r="A72" i="15"/>
  <c r="A73" i="15"/>
  <c r="H38" i="15"/>
  <c r="I38" i="15"/>
  <c r="J38" i="15"/>
  <c r="K38" i="15"/>
  <c r="L38" i="15"/>
  <c r="M38" i="15"/>
  <c r="N38" i="15"/>
  <c r="O38" i="15"/>
  <c r="P38" i="15"/>
  <c r="Q38" i="15"/>
  <c r="R38" i="15"/>
  <c r="S38" i="15"/>
  <c r="T38" i="15"/>
  <c r="U38" i="15"/>
  <c r="A38" i="15"/>
  <c r="G38" i="15"/>
  <c r="F38" i="15"/>
  <c r="E38" i="15"/>
  <c r="D38" i="15"/>
  <c r="C38" i="15"/>
  <c r="C37" i="15"/>
  <c r="D37" i="15"/>
  <c r="E37" i="15"/>
  <c r="F37" i="15"/>
  <c r="G37" i="15"/>
  <c r="H37" i="15"/>
  <c r="I37" i="15"/>
  <c r="J37" i="15"/>
  <c r="K37" i="15"/>
  <c r="L37" i="15"/>
  <c r="M37" i="15"/>
  <c r="N37" i="15"/>
  <c r="O37" i="15"/>
  <c r="P37" i="15"/>
  <c r="Q37" i="15"/>
  <c r="R37" i="15"/>
  <c r="S37" i="15"/>
  <c r="T37" i="15"/>
  <c r="U37" i="15"/>
  <c r="U4" i="15"/>
  <c r="U5" i="15"/>
  <c r="U6" i="15"/>
  <c r="U7" i="15"/>
  <c r="U8" i="15"/>
  <c r="U9" i="15"/>
  <c r="U10" i="15"/>
  <c r="U11" i="15"/>
  <c r="U12" i="15"/>
  <c r="U13" i="15"/>
  <c r="U14" i="15"/>
  <c r="U15" i="15"/>
  <c r="U16" i="15"/>
  <c r="U17" i="15"/>
  <c r="U32" i="15"/>
  <c r="U33" i="15"/>
  <c r="U34" i="15"/>
  <c r="U35" i="15"/>
  <c r="U64" i="15"/>
  <c r="U65" i="15"/>
  <c r="U66" i="15"/>
  <c r="U67" i="15"/>
  <c r="U68" i="15"/>
  <c r="U69" i="15"/>
  <c r="U70" i="15"/>
  <c r="U71" i="15"/>
  <c r="U85" i="15"/>
  <c r="U86" i="15"/>
  <c r="U87" i="15"/>
  <c r="U89" i="15"/>
  <c r="U91" i="15"/>
  <c r="U92" i="15"/>
  <c r="U93" i="15"/>
  <c r="U94" i="15"/>
  <c r="U95" i="15"/>
  <c r="U96" i="15"/>
  <c r="U97" i="15"/>
  <c r="U114" i="15"/>
  <c r="U115" i="15"/>
  <c r="U116" i="15"/>
  <c r="U117" i="15"/>
  <c r="U118" i="15"/>
  <c r="U119" i="15"/>
  <c r="U120" i="15"/>
  <c r="U138" i="15"/>
  <c r="U139" i="15"/>
  <c r="U140" i="15"/>
  <c r="U141" i="15"/>
  <c r="U142" i="15"/>
  <c r="U143" i="15"/>
  <c r="U144" i="15"/>
  <c r="J8" i="1"/>
  <c r="T4" i="15"/>
  <c r="T5" i="15"/>
  <c r="T6" i="15"/>
  <c r="T7" i="15"/>
  <c r="T8" i="15"/>
  <c r="T9" i="15"/>
  <c r="T10" i="15"/>
  <c r="T11" i="15"/>
  <c r="T12" i="15"/>
  <c r="T13" i="15"/>
  <c r="T14" i="15"/>
  <c r="T15" i="15"/>
  <c r="T16" i="15"/>
  <c r="T17" i="15"/>
  <c r="T32" i="15"/>
  <c r="T33" i="15"/>
  <c r="T34" i="15"/>
  <c r="T35" i="15"/>
  <c r="T64" i="15"/>
  <c r="T65" i="15"/>
  <c r="T66" i="15"/>
  <c r="T67" i="15"/>
  <c r="T68" i="15"/>
  <c r="T69" i="15"/>
  <c r="T70" i="15"/>
  <c r="T71" i="15"/>
  <c r="T85" i="15"/>
  <c r="T86" i="15"/>
  <c r="T87" i="15"/>
  <c r="T89" i="15"/>
  <c r="T91" i="15"/>
  <c r="T92" i="15"/>
  <c r="T93" i="15"/>
  <c r="T94" i="15"/>
  <c r="T95" i="15"/>
  <c r="T96" i="15"/>
  <c r="T97" i="15"/>
  <c r="T114" i="15"/>
  <c r="T115" i="15"/>
  <c r="T116" i="15"/>
  <c r="T117" i="15"/>
  <c r="T118" i="15"/>
  <c r="T119" i="15"/>
  <c r="T120" i="15"/>
  <c r="T138" i="15"/>
  <c r="T139" i="15"/>
  <c r="T140" i="15"/>
  <c r="T141" i="15"/>
  <c r="T142" i="15"/>
  <c r="T143" i="15"/>
  <c r="T144" i="15"/>
  <c r="S144" i="15"/>
  <c r="S143" i="15"/>
  <c r="S142" i="15"/>
  <c r="S141" i="15"/>
  <c r="S140" i="15"/>
  <c r="S139" i="15"/>
  <c r="S138" i="15"/>
  <c r="S120" i="15"/>
  <c r="S119" i="15"/>
  <c r="S118" i="15"/>
  <c r="S117" i="15"/>
  <c r="S116" i="15"/>
  <c r="S115" i="15"/>
  <c r="S114" i="15"/>
  <c r="S97" i="15"/>
  <c r="S96" i="15"/>
  <c r="S95" i="15"/>
  <c r="S94" i="15"/>
  <c r="S93" i="15"/>
  <c r="S92" i="15"/>
  <c r="S91" i="15"/>
  <c r="S89" i="15"/>
  <c r="S87" i="15"/>
  <c r="S86" i="15"/>
  <c r="S85" i="15"/>
  <c r="S71" i="15"/>
  <c r="S70" i="15"/>
  <c r="S69" i="15"/>
  <c r="S68" i="15"/>
  <c r="S67" i="15"/>
  <c r="S66" i="15"/>
  <c r="S65" i="15"/>
  <c r="S64" i="15"/>
  <c r="S35" i="15"/>
  <c r="S34" i="15"/>
  <c r="S33" i="15"/>
  <c r="S32" i="15"/>
  <c r="S17" i="15"/>
  <c r="S16" i="15"/>
  <c r="S15" i="15"/>
  <c r="S14" i="15"/>
  <c r="S13" i="15"/>
  <c r="S12" i="15"/>
  <c r="S11" i="15"/>
  <c r="S10" i="15"/>
  <c r="S9" i="15"/>
  <c r="S8" i="15"/>
  <c r="S7" i="15"/>
  <c r="S6" i="15"/>
  <c r="S5" i="15"/>
  <c r="S4" i="15"/>
  <c r="A37" i="15"/>
  <c r="B37" i="15"/>
  <c r="A4" i="15"/>
  <c r="B4" i="15"/>
  <c r="C4" i="15"/>
  <c r="D4" i="15"/>
  <c r="E4" i="15"/>
  <c r="F4" i="15"/>
  <c r="G4" i="15"/>
  <c r="H4" i="15"/>
  <c r="I4" i="15"/>
  <c r="J4" i="15"/>
  <c r="K4" i="15"/>
  <c r="L4" i="15"/>
  <c r="M4" i="15"/>
  <c r="N4" i="15"/>
  <c r="O4" i="15"/>
  <c r="P4" i="15"/>
  <c r="Q4" i="15"/>
  <c r="R4" i="15"/>
  <c r="A5" i="15"/>
  <c r="B5" i="15"/>
  <c r="C5" i="15"/>
  <c r="D5" i="15"/>
  <c r="E5" i="15"/>
  <c r="F5" i="15"/>
  <c r="G5" i="15"/>
  <c r="H5" i="15"/>
  <c r="I5" i="15"/>
  <c r="J5" i="15"/>
  <c r="K5" i="15"/>
  <c r="L5" i="15"/>
  <c r="M5" i="15"/>
  <c r="N5" i="15"/>
  <c r="O5" i="15"/>
  <c r="P5" i="15"/>
  <c r="Q5" i="15"/>
  <c r="R5" i="15"/>
  <c r="A6" i="15"/>
  <c r="B6" i="15"/>
  <c r="C6" i="15"/>
  <c r="D6" i="15"/>
  <c r="E6" i="15"/>
  <c r="F6" i="15"/>
  <c r="G6" i="15"/>
  <c r="H6" i="15"/>
  <c r="I6" i="15"/>
  <c r="J6" i="15"/>
  <c r="K6" i="15"/>
  <c r="L6" i="15"/>
  <c r="M6" i="15"/>
  <c r="N6" i="15"/>
  <c r="O6" i="15"/>
  <c r="P6" i="15"/>
  <c r="Q6" i="15"/>
  <c r="R6" i="15"/>
  <c r="A7" i="15"/>
  <c r="B7" i="15"/>
  <c r="C7" i="15"/>
  <c r="D7" i="15"/>
  <c r="E7" i="15"/>
  <c r="F7" i="15"/>
  <c r="G7" i="15"/>
  <c r="H7" i="15"/>
  <c r="I7" i="15"/>
  <c r="J7" i="15"/>
  <c r="K7" i="15"/>
  <c r="L7" i="15"/>
  <c r="M7" i="15"/>
  <c r="N7" i="15"/>
  <c r="O7" i="15"/>
  <c r="P7" i="15"/>
  <c r="Q7" i="15"/>
  <c r="R7" i="15"/>
  <c r="A8" i="15"/>
  <c r="B8" i="15"/>
  <c r="C8" i="15"/>
  <c r="D8" i="15"/>
  <c r="E8" i="15"/>
  <c r="F8" i="15"/>
  <c r="G8" i="15"/>
  <c r="H8" i="15"/>
  <c r="I8" i="15"/>
  <c r="J8" i="15"/>
  <c r="K8" i="15"/>
  <c r="L8" i="15"/>
  <c r="M8" i="15"/>
  <c r="N8" i="15"/>
  <c r="O8" i="15"/>
  <c r="P8" i="15"/>
  <c r="Q8" i="15"/>
  <c r="R8" i="15"/>
  <c r="A9" i="15"/>
  <c r="B9" i="15"/>
  <c r="C9" i="15"/>
  <c r="D9" i="15"/>
  <c r="E9" i="15"/>
  <c r="F9" i="15"/>
  <c r="G9" i="15"/>
  <c r="H9" i="15"/>
  <c r="I9" i="15"/>
  <c r="J9" i="15"/>
  <c r="K9" i="15"/>
  <c r="L9" i="15"/>
  <c r="M9" i="15"/>
  <c r="N9" i="15"/>
  <c r="O9" i="15"/>
  <c r="P9" i="15"/>
  <c r="Q9" i="15"/>
  <c r="R9" i="15"/>
  <c r="A10" i="15"/>
  <c r="B10" i="15"/>
  <c r="C10" i="15"/>
  <c r="D10" i="15"/>
  <c r="E10" i="15"/>
  <c r="F10" i="15"/>
  <c r="G10" i="15"/>
  <c r="H10" i="15"/>
  <c r="I10" i="15"/>
  <c r="J10" i="15"/>
  <c r="K10" i="15"/>
  <c r="L10" i="15"/>
  <c r="M10" i="15"/>
  <c r="N10" i="15"/>
  <c r="O10" i="15"/>
  <c r="P10" i="15"/>
  <c r="Q10" i="15"/>
  <c r="R10" i="15"/>
  <c r="A11" i="15"/>
  <c r="B11" i="15"/>
  <c r="C11" i="15"/>
  <c r="D11" i="15"/>
  <c r="E11" i="15"/>
  <c r="F11" i="15"/>
  <c r="G11" i="15"/>
  <c r="H11" i="15"/>
  <c r="I11" i="15"/>
  <c r="J11" i="15"/>
  <c r="K11" i="15"/>
  <c r="L11" i="15"/>
  <c r="M11" i="15"/>
  <c r="N11" i="15"/>
  <c r="O11" i="15"/>
  <c r="P11" i="15"/>
  <c r="Q11" i="15"/>
  <c r="R11" i="15"/>
  <c r="A12" i="15"/>
  <c r="B12" i="15"/>
  <c r="C12" i="15"/>
  <c r="D12" i="15"/>
  <c r="E12" i="15"/>
  <c r="F12" i="15"/>
  <c r="G12" i="15"/>
  <c r="H12" i="15"/>
  <c r="I12" i="15"/>
  <c r="J12" i="15"/>
  <c r="K12" i="15"/>
  <c r="L12" i="15"/>
  <c r="M12" i="15"/>
  <c r="N12" i="15"/>
  <c r="O12" i="15"/>
  <c r="P12" i="15"/>
  <c r="Q12" i="15"/>
  <c r="R12" i="15"/>
  <c r="A13" i="15"/>
  <c r="B13" i="15"/>
  <c r="C13" i="15"/>
  <c r="D13" i="15"/>
  <c r="E13" i="15"/>
  <c r="F13" i="15"/>
  <c r="G13" i="15"/>
  <c r="H13" i="15"/>
  <c r="I13" i="15"/>
  <c r="J13" i="15"/>
  <c r="K13" i="15"/>
  <c r="L13" i="15"/>
  <c r="M13" i="15"/>
  <c r="N13" i="15"/>
  <c r="O13" i="15"/>
  <c r="P13" i="15"/>
  <c r="Q13" i="15"/>
  <c r="R13" i="15"/>
  <c r="A14" i="15"/>
  <c r="B14" i="15"/>
  <c r="C14" i="15"/>
  <c r="D14" i="15"/>
  <c r="E14" i="15"/>
  <c r="F14" i="15"/>
  <c r="G14" i="15"/>
  <c r="H14" i="15"/>
  <c r="I14" i="15"/>
  <c r="J14" i="15"/>
  <c r="K14" i="15"/>
  <c r="L14" i="15"/>
  <c r="M14" i="15"/>
  <c r="N14" i="15"/>
  <c r="O14" i="15"/>
  <c r="P14" i="15"/>
  <c r="Q14" i="15"/>
  <c r="R14" i="15"/>
  <c r="A15" i="15"/>
  <c r="B15" i="15"/>
  <c r="C15" i="15"/>
  <c r="D15" i="15"/>
  <c r="E15" i="15"/>
  <c r="F15" i="15"/>
  <c r="G15" i="15"/>
  <c r="H15" i="15"/>
  <c r="I15" i="15"/>
  <c r="J15" i="15"/>
  <c r="K15" i="15"/>
  <c r="L15" i="15"/>
  <c r="M15" i="15"/>
  <c r="N15" i="15"/>
  <c r="O15" i="15"/>
  <c r="P15" i="15"/>
  <c r="Q15" i="15"/>
  <c r="R15" i="15"/>
  <c r="A16" i="15"/>
  <c r="B16" i="15"/>
  <c r="C16" i="15"/>
  <c r="D16" i="15"/>
  <c r="E16" i="15"/>
  <c r="F16" i="15"/>
  <c r="G16" i="15"/>
  <c r="H16" i="15"/>
  <c r="I16" i="15"/>
  <c r="J16" i="15"/>
  <c r="K16" i="15"/>
  <c r="L16" i="15"/>
  <c r="M16" i="15"/>
  <c r="N16" i="15"/>
  <c r="O16" i="15"/>
  <c r="P16" i="15"/>
  <c r="Q16" i="15"/>
  <c r="R16" i="15"/>
  <c r="A17" i="15"/>
  <c r="B17" i="15"/>
  <c r="C17" i="15"/>
  <c r="D17" i="15"/>
  <c r="E17" i="15"/>
  <c r="F17" i="15"/>
  <c r="G17" i="15"/>
  <c r="H17" i="15"/>
  <c r="I17" i="15"/>
  <c r="J17" i="15"/>
  <c r="K17" i="15"/>
  <c r="L17" i="15"/>
  <c r="M17" i="15"/>
  <c r="N17" i="15"/>
  <c r="O17" i="15"/>
  <c r="P17" i="15"/>
  <c r="Q17" i="15"/>
  <c r="R17" i="15"/>
  <c r="A32" i="15"/>
  <c r="B32" i="15"/>
  <c r="C32" i="15"/>
  <c r="D32" i="15"/>
  <c r="E32" i="15"/>
  <c r="F32" i="15"/>
  <c r="G32" i="15"/>
  <c r="H32" i="15"/>
  <c r="I32" i="15"/>
  <c r="J32" i="15"/>
  <c r="K32" i="15"/>
  <c r="L32" i="15"/>
  <c r="M32" i="15"/>
  <c r="N32" i="15"/>
  <c r="O32" i="15"/>
  <c r="P32" i="15"/>
  <c r="Q32" i="15"/>
  <c r="R32" i="15"/>
  <c r="A33" i="15"/>
  <c r="B33" i="15"/>
  <c r="C33" i="15"/>
  <c r="D33" i="15"/>
  <c r="E33" i="15"/>
  <c r="F33" i="15"/>
  <c r="G33" i="15"/>
  <c r="H33" i="15"/>
  <c r="I33" i="15"/>
  <c r="J33" i="15"/>
  <c r="K33" i="15"/>
  <c r="L33" i="15"/>
  <c r="M33" i="15"/>
  <c r="N33" i="15"/>
  <c r="O33" i="15"/>
  <c r="P33" i="15"/>
  <c r="Q33" i="15"/>
  <c r="R33" i="15"/>
  <c r="A34" i="15"/>
  <c r="B34" i="15"/>
  <c r="C34" i="15"/>
  <c r="D34" i="15"/>
  <c r="E34" i="15"/>
  <c r="F34" i="15"/>
  <c r="G34" i="15"/>
  <c r="H34" i="15"/>
  <c r="I34" i="15"/>
  <c r="J34" i="15"/>
  <c r="K34" i="15"/>
  <c r="L34" i="15"/>
  <c r="M34" i="15"/>
  <c r="N34" i="15"/>
  <c r="O34" i="15"/>
  <c r="P34" i="15"/>
  <c r="Q34" i="15"/>
  <c r="R34" i="15"/>
  <c r="A35" i="15"/>
  <c r="B35" i="15"/>
  <c r="C35" i="15"/>
  <c r="D35" i="15"/>
  <c r="E35" i="15"/>
  <c r="F35" i="15"/>
  <c r="G35" i="15"/>
  <c r="H35" i="15"/>
  <c r="I35" i="15"/>
  <c r="J35" i="15"/>
  <c r="K35" i="15"/>
  <c r="L35" i="15"/>
  <c r="M35" i="15"/>
  <c r="N35" i="15"/>
  <c r="O35" i="15"/>
  <c r="P35" i="15"/>
  <c r="Q35" i="15"/>
  <c r="R35" i="15"/>
  <c r="A64" i="15"/>
  <c r="B64" i="15"/>
  <c r="C64" i="15"/>
  <c r="D64" i="15"/>
  <c r="E64" i="15"/>
  <c r="F64" i="15"/>
  <c r="G64" i="15"/>
  <c r="H64" i="15"/>
  <c r="I64" i="15"/>
  <c r="J64" i="15"/>
  <c r="K64" i="15"/>
  <c r="L64" i="15"/>
  <c r="M64" i="15"/>
  <c r="N64" i="15"/>
  <c r="O64" i="15"/>
  <c r="P64" i="15"/>
  <c r="Q64" i="15"/>
  <c r="R64" i="15"/>
  <c r="A65" i="15"/>
  <c r="B65" i="15"/>
  <c r="C65" i="15"/>
  <c r="D65" i="15"/>
  <c r="E65" i="15"/>
  <c r="F65" i="15"/>
  <c r="G65" i="15"/>
  <c r="H65" i="15"/>
  <c r="I65" i="15"/>
  <c r="J65" i="15"/>
  <c r="K65" i="15"/>
  <c r="L65" i="15"/>
  <c r="M65" i="15"/>
  <c r="N65" i="15"/>
  <c r="O65" i="15"/>
  <c r="P65" i="15"/>
  <c r="Q65" i="15"/>
  <c r="R65" i="15"/>
  <c r="A66" i="15"/>
  <c r="B66" i="15"/>
  <c r="C66" i="15"/>
  <c r="D66" i="15"/>
  <c r="E66" i="15"/>
  <c r="F66" i="15"/>
  <c r="G66" i="15"/>
  <c r="H66" i="15"/>
  <c r="I66" i="15"/>
  <c r="J66" i="15"/>
  <c r="K66" i="15"/>
  <c r="L66" i="15"/>
  <c r="M66" i="15"/>
  <c r="N66" i="15"/>
  <c r="O66" i="15"/>
  <c r="P66" i="15"/>
  <c r="Q66" i="15"/>
  <c r="R66" i="15"/>
  <c r="A67" i="15"/>
  <c r="B67" i="15"/>
  <c r="C67" i="15"/>
  <c r="D67" i="15"/>
  <c r="E67" i="15"/>
  <c r="F67" i="15"/>
  <c r="G67" i="15"/>
  <c r="H67" i="15"/>
  <c r="I67" i="15"/>
  <c r="J67" i="15"/>
  <c r="K67" i="15"/>
  <c r="L67" i="15"/>
  <c r="M67" i="15"/>
  <c r="N67" i="15"/>
  <c r="O67" i="15"/>
  <c r="P67" i="15"/>
  <c r="Q67" i="15"/>
  <c r="R67" i="15"/>
  <c r="A68" i="15"/>
  <c r="B68" i="15"/>
  <c r="C68" i="15"/>
  <c r="D68" i="15"/>
  <c r="E68" i="15"/>
  <c r="F68" i="15"/>
  <c r="G68" i="15"/>
  <c r="H68" i="15"/>
  <c r="I68" i="15"/>
  <c r="J68" i="15"/>
  <c r="K68" i="15"/>
  <c r="L68" i="15"/>
  <c r="M68" i="15"/>
  <c r="N68" i="15"/>
  <c r="O68" i="15"/>
  <c r="P68" i="15"/>
  <c r="Q68" i="15"/>
  <c r="R68" i="15"/>
  <c r="A69" i="15"/>
  <c r="B69" i="15"/>
  <c r="C69" i="15"/>
  <c r="D69" i="15"/>
  <c r="E69" i="15"/>
  <c r="F69" i="15"/>
  <c r="G69" i="15"/>
  <c r="H69" i="15"/>
  <c r="I69" i="15"/>
  <c r="J69" i="15"/>
  <c r="K69" i="15"/>
  <c r="L69" i="15"/>
  <c r="M69" i="15"/>
  <c r="N69" i="15"/>
  <c r="O69" i="15"/>
  <c r="P69" i="15"/>
  <c r="Q69" i="15"/>
  <c r="R69" i="15"/>
  <c r="A70" i="15"/>
  <c r="B70" i="15"/>
  <c r="C70" i="15"/>
  <c r="D70" i="15"/>
  <c r="E70" i="15"/>
  <c r="F70" i="15"/>
  <c r="G70" i="15"/>
  <c r="H70" i="15"/>
  <c r="I70" i="15"/>
  <c r="J70" i="15"/>
  <c r="K70" i="15"/>
  <c r="L70" i="15"/>
  <c r="M70" i="15"/>
  <c r="N70" i="15"/>
  <c r="O70" i="15"/>
  <c r="P70" i="15"/>
  <c r="Q70" i="15"/>
  <c r="R70" i="15"/>
  <c r="A71" i="15"/>
  <c r="C71" i="15"/>
  <c r="D71" i="15"/>
  <c r="E71" i="15"/>
  <c r="F71" i="15"/>
  <c r="G71" i="15"/>
  <c r="H71" i="15"/>
  <c r="I71" i="15"/>
  <c r="J71" i="15"/>
  <c r="K71" i="15"/>
  <c r="L71" i="15"/>
  <c r="M71" i="15"/>
  <c r="N71" i="15"/>
  <c r="O71" i="15"/>
  <c r="P71" i="15"/>
  <c r="Q71" i="15"/>
  <c r="R71" i="15"/>
  <c r="A85" i="15"/>
  <c r="B85" i="15"/>
  <c r="C85" i="15"/>
  <c r="D85" i="15"/>
  <c r="E85" i="15"/>
  <c r="F85" i="15"/>
  <c r="G85" i="15"/>
  <c r="H85" i="15"/>
  <c r="I85" i="15"/>
  <c r="J85" i="15"/>
  <c r="K85" i="15"/>
  <c r="L85" i="15"/>
  <c r="M85" i="15"/>
  <c r="N85" i="15"/>
  <c r="O85" i="15"/>
  <c r="P85" i="15"/>
  <c r="Q85" i="15"/>
  <c r="R85" i="15"/>
  <c r="A86" i="15"/>
  <c r="B86" i="15"/>
  <c r="C86" i="15"/>
  <c r="D86" i="15"/>
  <c r="E86" i="15"/>
  <c r="F86" i="15"/>
  <c r="G86" i="15"/>
  <c r="H86" i="15"/>
  <c r="I86" i="15"/>
  <c r="J86" i="15"/>
  <c r="K86" i="15"/>
  <c r="L86" i="15"/>
  <c r="M86" i="15"/>
  <c r="N86" i="15"/>
  <c r="O86" i="15"/>
  <c r="P86" i="15"/>
  <c r="Q86" i="15"/>
  <c r="R86" i="15"/>
  <c r="A87" i="15"/>
  <c r="B87" i="15"/>
  <c r="C87" i="15"/>
  <c r="D87" i="15"/>
  <c r="E87" i="15"/>
  <c r="F87" i="15"/>
  <c r="G87" i="15"/>
  <c r="H87" i="15"/>
  <c r="I87" i="15"/>
  <c r="J87" i="15"/>
  <c r="K87" i="15"/>
  <c r="L87" i="15"/>
  <c r="M87" i="15"/>
  <c r="N87" i="15"/>
  <c r="O87" i="15"/>
  <c r="P87" i="15"/>
  <c r="Q87" i="15"/>
  <c r="R87" i="15"/>
  <c r="A89" i="15"/>
  <c r="B89" i="15"/>
  <c r="C89" i="15"/>
  <c r="D89" i="15"/>
  <c r="E89" i="15"/>
  <c r="F89" i="15"/>
  <c r="G89" i="15"/>
  <c r="H89" i="15"/>
  <c r="I89" i="15"/>
  <c r="J89" i="15"/>
  <c r="K89" i="15"/>
  <c r="L89" i="15"/>
  <c r="M89" i="15"/>
  <c r="N89" i="15"/>
  <c r="O89" i="15"/>
  <c r="P89" i="15"/>
  <c r="Q89" i="15"/>
  <c r="R89" i="15"/>
  <c r="A91" i="15"/>
  <c r="B91" i="15"/>
  <c r="C91" i="15"/>
  <c r="D91" i="15"/>
  <c r="E91" i="15"/>
  <c r="F91" i="15"/>
  <c r="G91" i="15"/>
  <c r="H91" i="15"/>
  <c r="I91" i="15"/>
  <c r="J91" i="15"/>
  <c r="K91" i="15"/>
  <c r="L91" i="15"/>
  <c r="M91" i="15"/>
  <c r="N91" i="15"/>
  <c r="O91" i="15"/>
  <c r="P91" i="15"/>
  <c r="Q91" i="15"/>
  <c r="R91" i="15"/>
  <c r="A92" i="15"/>
  <c r="B92" i="15"/>
  <c r="C92" i="15"/>
  <c r="D92" i="15"/>
  <c r="E92" i="15"/>
  <c r="F92" i="15"/>
  <c r="G92" i="15"/>
  <c r="H92" i="15"/>
  <c r="I92" i="15"/>
  <c r="J92" i="15"/>
  <c r="K92" i="15"/>
  <c r="L92" i="15"/>
  <c r="M92" i="15"/>
  <c r="N92" i="15"/>
  <c r="O92" i="15"/>
  <c r="P92" i="15"/>
  <c r="Q92" i="15"/>
  <c r="R92" i="15"/>
  <c r="A93" i="15"/>
  <c r="B93" i="15"/>
  <c r="C93" i="15"/>
  <c r="D93" i="15"/>
  <c r="E93" i="15"/>
  <c r="F93" i="15"/>
  <c r="G93" i="15"/>
  <c r="H93" i="15"/>
  <c r="I93" i="15"/>
  <c r="J93" i="15"/>
  <c r="K93" i="15"/>
  <c r="L93" i="15"/>
  <c r="M93" i="15"/>
  <c r="N93" i="15"/>
  <c r="O93" i="15"/>
  <c r="P93" i="15"/>
  <c r="Q93" i="15"/>
  <c r="R93" i="15"/>
  <c r="A94" i="15"/>
  <c r="B94" i="15"/>
  <c r="C94" i="15"/>
  <c r="D94" i="15"/>
  <c r="E94" i="15"/>
  <c r="F94" i="15"/>
  <c r="G94" i="15"/>
  <c r="H94" i="15"/>
  <c r="I94" i="15"/>
  <c r="J94" i="15"/>
  <c r="K94" i="15"/>
  <c r="L94" i="15"/>
  <c r="M94" i="15"/>
  <c r="N94" i="15"/>
  <c r="O94" i="15"/>
  <c r="P94" i="15"/>
  <c r="Q94" i="15"/>
  <c r="R94" i="15"/>
  <c r="A95" i="15"/>
  <c r="B95" i="15"/>
  <c r="C95" i="15"/>
  <c r="D95" i="15"/>
  <c r="E95" i="15"/>
  <c r="F95" i="15"/>
  <c r="G95" i="15"/>
  <c r="H95" i="15"/>
  <c r="I95" i="15"/>
  <c r="J95" i="15"/>
  <c r="K95" i="15"/>
  <c r="L95" i="15"/>
  <c r="M95" i="15"/>
  <c r="N95" i="15"/>
  <c r="O95" i="15"/>
  <c r="P95" i="15"/>
  <c r="Q95" i="15"/>
  <c r="R95" i="15"/>
  <c r="A96" i="15"/>
  <c r="B96" i="15"/>
  <c r="C96" i="15"/>
  <c r="D96" i="15"/>
  <c r="E96" i="15"/>
  <c r="F96" i="15"/>
  <c r="G96" i="15"/>
  <c r="H96" i="15"/>
  <c r="I96" i="15"/>
  <c r="J96" i="15"/>
  <c r="K96" i="15"/>
  <c r="L96" i="15"/>
  <c r="M96" i="15"/>
  <c r="N96" i="15"/>
  <c r="O96" i="15"/>
  <c r="P96" i="15"/>
  <c r="Q96" i="15"/>
  <c r="R96" i="15"/>
  <c r="A97" i="15"/>
  <c r="B97" i="15"/>
  <c r="C97" i="15"/>
  <c r="D97" i="15"/>
  <c r="E97" i="15"/>
  <c r="F97" i="15"/>
  <c r="G97" i="15"/>
  <c r="H97" i="15"/>
  <c r="I97" i="15"/>
  <c r="J97" i="15"/>
  <c r="K97" i="15"/>
  <c r="L97" i="15"/>
  <c r="M97" i="15"/>
  <c r="N97" i="15"/>
  <c r="O97" i="15"/>
  <c r="P97" i="15"/>
  <c r="Q97" i="15"/>
  <c r="R97" i="15"/>
  <c r="A114" i="15"/>
  <c r="B114" i="15"/>
  <c r="C114" i="15"/>
  <c r="D114" i="15"/>
  <c r="E114" i="15"/>
  <c r="F114" i="15"/>
  <c r="G114" i="15"/>
  <c r="H114" i="15"/>
  <c r="I114" i="15"/>
  <c r="J114" i="15"/>
  <c r="K114" i="15"/>
  <c r="L114" i="15"/>
  <c r="M114" i="15"/>
  <c r="N114" i="15"/>
  <c r="O114" i="15"/>
  <c r="P114" i="15"/>
  <c r="Q114" i="15"/>
  <c r="R114" i="15"/>
  <c r="A115" i="15"/>
  <c r="B115" i="15"/>
  <c r="C115" i="15"/>
  <c r="D115" i="15"/>
  <c r="E115" i="15"/>
  <c r="F115" i="15"/>
  <c r="G115" i="15"/>
  <c r="H115" i="15"/>
  <c r="I115" i="15"/>
  <c r="J115" i="15"/>
  <c r="K115" i="15"/>
  <c r="L115" i="15"/>
  <c r="M115" i="15"/>
  <c r="N115" i="15"/>
  <c r="O115" i="15"/>
  <c r="P115" i="15"/>
  <c r="Q115" i="15"/>
  <c r="R115" i="15"/>
  <c r="A116" i="15"/>
  <c r="B116" i="15"/>
  <c r="C116" i="15"/>
  <c r="D116" i="15"/>
  <c r="E116" i="15"/>
  <c r="F116" i="15"/>
  <c r="G116" i="15"/>
  <c r="H116" i="15"/>
  <c r="I116" i="15"/>
  <c r="J116" i="15"/>
  <c r="K116" i="15"/>
  <c r="L116" i="15"/>
  <c r="M116" i="15"/>
  <c r="N116" i="15"/>
  <c r="O116" i="15"/>
  <c r="P116" i="15"/>
  <c r="Q116" i="15"/>
  <c r="R116" i="15"/>
  <c r="A117" i="15"/>
  <c r="B117" i="15"/>
  <c r="C117" i="15"/>
  <c r="D117" i="15"/>
  <c r="E117" i="15"/>
  <c r="F117" i="15"/>
  <c r="G117" i="15"/>
  <c r="H117" i="15"/>
  <c r="I117" i="15"/>
  <c r="J117" i="15"/>
  <c r="K117" i="15"/>
  <c r="L117" i="15"/>
  <c r="M117" i="15"/>
  <c r="N117" i="15"/>
  <c r="O117" i="15"/>
  <c r="P117" i="15"/>
  <c r="Q117" i="15"/>
  <c r="R117" i="15"/>
  <c r="A118" i="15"/>
  <c r="B118" i="15"/>
  <c r="C118" i="15"/>
  <c r="D118" i="15"/>
  <c r="E118" i="15"/>
  <c r="F118" i="15"/>
  <c r="G118" i="15"/>
  <c r="H118" i="15"/>
  <c r="I118" i="15"/>
  <c r="J118" i="15"/>
  <c r="K118" i="15"/>
  <c r="L118" i="15"/>
  <c r="M118" i="15"/>
  <c r="N118" i="15"/>
  <c r="O118" i="15"/>
  <c r="P118" i="15"/>
  <c r="Q118" i="15"/>
  <c r="R118" i="15"/>
  <c r="A119" i="15"/>
  <c r="B119" i="15"/>
  <c r="C119" i="15"/>
  <c r="D119" i="15"/>
  <c r="E119" i="15"/>
  <c r="F119" i="15"/>
  <c r="G119" i="15"/>
  <c r="H119" i="15"/>
  <c r="I119" i="15"/>
  <c r="J119" i="15"/>
  <c r="K119" i="15"/>
  <c r="L119" i="15"/>
  <c r="M119" i="15"/>
  <c r="N119" i="15"/>
  <c r="O119" i="15"/>
  <c r="P119" i="15"/>
  <c r="Q119" i="15"/>
  <c r="R119" i="15"/>
  <c r="A120" i="15"/>
  <c r="B120" i="15"/>
  <c r="C120" i="15"/>
  <c r="D120" i="15"/>
  <c r="E120" i="15"/>
  <c r="F120" i="15"/>
  <c r="G120" i="15"/>
  <c r="H120" i="15"/>
  <c r="I120" i="15"/>
  <c r="J120" i="15"/>
  <c r="K120" i="15"/>
  <c r="L120" i="15"/>
  <c r="M120" i="15"/>
  <c r="N120" i="15"/>
  <c r="O120" i="15"/>
  <c r="P120" i="15"/>
  <c r="Q120" i="15"/>
  <c r="R120" i="15"/>
  <c r="A138" i="15"/>
  <c r="B138" i="15"/>
  <c r="C138" i="15"/>
  <c r="D138" i="15"/>
  <c r="E138" i="15"/>
  <c r="F138" i="15"/>
  <c r="G138" i="15"/>
  <c r="H138" i="15"/>
  <c r="I138" i="15"/>
  <c r="J138" i="15"/>
  <c r="K138" i="15"/>
  <c r="L138" i="15"/>
  <c r="M138" i="15"/>
  <c r="N138" i="15"/>
  <c r="O138" i="15"/>
  <c r="P138" i="15"/>
  <c r="Q138" i="15"/>
  <c r="R138" i="15"/>
  <c r="A139" i="15"/>
  <c r="B139" i="15"/>
  <c r="C139" i="15"/>
  <c r="D139" i="15"/>
  <c r="E139" i="15"/>
  <c r="F139" i="15"/>
  <c r="G139" i="15"/>
  <c r="H139" i="15"/>
  <c r="I139" i="15"/>
  <c r="J139" i="15"/>
  <c r="K139" i="15"/>
  <c r="L139" i="15"/>
  <c r="M139" i="15"/>
  <c r="N139" i="15"/>
  <c r="O139" i="15"/>
  <c r="P139" i="15"/>
  <c r="Q139" i="15"/>
  <c r="R139" i="15"/>
  <c r="A140" i="15"/>
  <c r="B140" i="15"/>
  <c r="C140" i="15"/>
  <c r="D140" i="15"/>
  <c r="E140" i="15"/>
  <c r="F140" i="15"/>
  <c r="G140" i="15"/>
  <c r="H140" i="15"/>
  <c r="I140" i="15"/>
  <c r="J140" i="15"/>
  <c r="K140" i="15"/>
  <c r="L140" i="15"/>
  <c r="M140" i="15"/>
  <c r="N140" i="15"/>
  <c r="O140" i="15"/>
  <c r="P140" i="15"/>
  <c r="Q140" i="15"/>
  <c r="R140" i="15"/>
  <c r="A141" i="15"/>
  <c r="B141" i="15"/>
  <c r="C141" i="15"/>
  <c r="D141" i="15"/>
  <c r="E141" i="15"/>
  <c r="F141" i="15"/>
  <c r="G141" i="15"/>
  <c r="H141" i="15"/>
  <c r="I141" i="15"/>
  <c r="J141" i="15"/>
  <c r="K141" i="15"/>
  <c r="L141" i="15"/>
  <c r="M141" i="15"/>
  <c r="N141" i="15"/>
  <c r="O141" i="15"/>
  <c r="P141" i="15"/>
  <c r="Q141" i="15"/>
  <c r="R141" i="15"/>
  <c r="A142" i="15"/>
  <c r="B142" i="15"/>
  <c r="C142" i="15"/>
  <c r="D142" i="15"/>
  <c r="E142" i="15"/>
  <c r="F142" i="15"/>
  <c r="G142" i="15"/>
  <c r="H142" i="15"/>
  <c r="I142" i="15"/>
  <c r="J142" i="15"/>
  <c r="K142" i="15"/>
  <c r="L142" i="15"/>
  <c r="M142" i="15"/>
  <c r="N142" i="15"/>
  <c r="O142" i="15"/>
  <c r="P142" i="15"/>
  <c r="Q142" i="15"/>
  <c r="R142" i="15"/>
  <c r="A143" i="15"/>
  <c r="B143" i="15"/>
  <c r="C143" i="15"/>
  <c r="D143" i="15"/>
  <c r="E143" i="15"/>
  <c r="F143" i="15"/>
  <c r="G143" i="15"/>
  <c r="H143" i="15"/>
  <c r="I143" i="15"/>
  <c r="J143" i="15"/>
  <c r="K143" i="15"/>
  <c r="L143" i="15"/>
  <c r="M143" i="15"/>
  <c r="N143" i="15"/>
  <c r="O143" i="15"/>
  <c r="P143" i="15"/>
  <c r="Q143" i="15"/>
  <c r="R143" i="15"/>
  <c r="A144" i="15"/>
  <c r="B144" i="15"/>
  <c r="C144" i="15"/>
  <c r="D144" i="15"/>
  <c r="E144" i="15"/>
  <c r="F144" i="15"/>
  <c r="G144" i="15"/>
  <c r="H144" i="15"/>
  <c r="I144" i="15"/>
  <c r="J144" i="15"/>
  <c r="K144" i="15"/>
  <c r="L144" i="15"/>
  <c r="M144" i="15"/>
  <c r="N144" i="15"/>
  <c r="O144" i="15"/>
  <c r="P144" i="15"/>
  <c r="Q144" i="15"/>
  <c r="R144" i="15"/>
  <c r="K164" i="15" l="1"/>
  <c r="I3" i="1" s="1"/>
  <c r="O164" i="15"/>
  <c r="F8" i="1" s="1"/>
  <c r="L164" i="15"/>
  <c r="C8" i="1" s="1"/>
  <c r="H164" i="15"/>
  <c r="F3" i="1" s="1"/>
  <c r="S164" i="15"/>
  <c r="A8" i="1" s="1"/>
  <c r="T164" i="15"/>
  <c r="B8" i="1" s="1"/>
  <c r="P164" i="15"/>
  <c r="G8" i="1" s="1"/>
  <c r="C7" i="16"/>
  <c r="B8" i="16" s="1"/>
  <c r="B10" i="16" s="1"/>
  <c r="I164" i="15"/>
  <c r="G3" i="1" s="1"/>
  <c r="E164" i="15"/>
  <c r="C3" i="1" s="1"/>
  <c r="F19" i="1" s="1"/>
  <c r="D164" i="15"/>
  <c r="B3" i="1" s="1"/>
  <c r="D19" i="1" s="1"/>
  <c r="Q164" i="15"/>
  <c r="H8" i="1" s="1"/>
  <c r="M164" i="15"/>
  <c r="D8" i="1" s="1"/>
  <c r="U164" i="15"/>
  <c r="J3" i="1" s="1"/>
  <c r="R164" i="15"/>
  <c r="I8" i="1" s="1"/>
  <c r="J164" i="15"/>
  <c r="H3" i="1" s="1"/>
  <c r="N164" i="15"/>
  <c r="E8" i="1" s="1"/>
  <c r="F164" i="15"/>
  <c r="D3" i="1" s="1"/>
  <c r="J19" i="1" s="1"/>
  <c r="C164" i="15"/>
  <c r="A3" i="1" s="1"/>
  <c r="G164" i="15"/>
  <c r="E3" i="1" s="1"/>
  <c r="H19" i="1" s="1"/>
  <c r="B9" i="16" l="1"/>
  <c r="G169" i="15"/>
  <c r="E12" i="1" s="1"/>
  <c r="G174" i="15"/>
  <c r="E17" i="1" s="1"/>
  <c r="C172" i="15"/>
  <c r="B15" i="1" s="1"/>
  <c r="G171" i="15"/>
  <c r="E14" i="1" s="1"/>
  <c r="G170" i="15"/>
  <c r="E13" i="1" s="1"/>
  <c r="G172" i="15" l="1"/>
  <c r="C170" i="15" s="1"/>
  <c r="E15" i="1" l="1"/>
  <c r="B14" i="1" s="1"/>
  <c r="C169" i="15"/>
  <c r="C171" i="15"/>
  <c r="C174" i="15"/>
  <c r="B17" i="1" s="1"/>
  <c r="B13" i="1" l="1"/>
  <c r="B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SpeedLight V3®</author>
    <author>Jordi</author>
  </authors>
  <commentList>
    <comment ref="A1" authorId="0" shapeId="0" xr:uid="{00000000-0006-0000-0100-000001000000}">
      <text>
        <r>
          <rPr>
            <b/>
            <sz val="9"/>
            <color indexed="81"/>
            <rFont val="Tahoma"/>
            <family val="2"/>
          </rPr>
          <t>- Calculo del agua contenida en los alimentos
- Adicionalmente debe consumirse entre 1,5-3 litros de agua embotellada por dia</t>
        </r>
        <r>
          <rPr>
            <sz val="9"/>
            <color indexed="81"/>
            <rFont val="Tahoma"/>
            <family val="2"/>
          </rPr>
          <t xml:space="preserve">
</t>
        </r>
      </text>
    </comment>
    <comment ref="B1" authorId="0" shapeId="0" xr:uid="{00000000-0006-0000-0100-000002000000}">
      <text>
        <r>
          <rPr>
            <b/>
            <sz val="11"/>
            <color rgb="FF000000"/>
            <rFont val="Verdana"/>
            <family val="2"/>
          </rPr>
          <t xml:space="preserve">Volumen: + 300-500Kcal sobre el Gasto Calorico Calculado
</t>
        </r>
        <r>
          <rPr>
            <b/>
            <sz val="11"/>
            <color rgb="FF000000"/>
            <rFont val="Verdana"/>
            <family val="2"/>
          </rPr>
          <t>Definicion: - 300-500Kcal sobre el Gasto Calorico Calculado</t>
        </r>
      </text>
    </comment>
    <comment ref="C1" authorId="0" shapeId="0" xr:uid="{00000000-0006-0000-0100-000003000000}">
      <text>
        <r>
          <rPr>
            <b/>
            <sz val="11"/>
            <color indexed="81"/>
            <rFont val="Verdana"/>
            <family val="2"/>
          </rPr>
          <t>Sedentario: 1gr/kg/dia
Atleta Resistencia/Fitness: 1,5gr/kg/dia
Atleta Fuerza/Culturismo: 2gr/kg/dia</t>
        </r>
      </text>
    </comment>
    <comment ref="D1" authorId="0" shapeId="0" xr:uid="{00000000-0006-0000-0100-000004000000}">
      <text>
        <r>
          <rPr>
            <b/>
            <sz val="11"/>
            <color indexed="81"/>
            <rFont val="Verdana"/>
            <family val="2"/>
          </rPr>
          <t>Definicion: 0,8gr/kg/dia
Equilibrada: 1gr/kg/dia</t>
        </r>
      </text>
    </comment>
    <comment ref="E1" authorId="0" shapeId="0" xr:uid="{00000000-0006-0000-0100-000005000000}">
      <text>
        <r>
          <rPr>
            <b/>
            <sz val="11"/>
            <color indexed="81"/>
            <rFont val="Verdana"/>
            <family val="2"/>
          </rPr>
          <t xml:space="preserve">Minimo Diario: 100gr/dia
Equilibrada: 2-3gr/kg/dia
Atleta Resistencia/Etapa Volumen: 5-10gr/kg/dia
Carga Carbohidratos: 10-12gr/kg/dia (durante 3-4 dias)
</t>
        </r>
      </text>
    </comment>
    <comment ref="F1" authorId="0" shapeId="0" xr:uid="{00000000-0006-0000-0100-000006000000}">
      <text>
        <r>
          <rPr>
            <b/>
            <sz val="11"/>
            <color indexed="81"/>
            <rFont val="Verdana"/>
            <family val="2"/>
          </rPr>
          <t>DRI: 2400mg
En deportistas necesidades probablemente mayores</t>
        </r>
        <r>
          <rPr>
            <sz val="9"/>
            <color indexed="81"/>
            <rFont val="Tahoma"/>
            <family val="2"/>
          </rPr>
          <t xml:space="preserve">
</t>
        </r>
      </text>
    </comment>
    <comment ref="G1" authorId="0" shapeId="0" xr:uid="{00000000-0006-0000-0100-000007000000}">
      <text>
        <r>
          <rPr>
            <b/>
            <sz val="11"/>
            <color indexed="81"/>
            <rFont val="Tahoma"/>
            <family val="2"/>
          </rPr>
          <t>DRI: 3500mg
En deportistas necesidades probablemente mayores</t>
        </r>
        <r>
          <rPr>
            <sz val="9"/>
            <color indexed="81"/>
            <rFont val="Tahoma"/>
            <family val="2"/>
          </rPr>
          <t xml:space="preserve">
</t>
        </r>
      </text>
    </comment>
    <comment ref="H1" authorId="0" shapeId="0" xr:uid="{00000000-0006-0000-0100-000008000000}">
      <text>
        <r>
          <rPr>
            <b/>
            <sz val="11"/>
            <color indexed="81"/>
            <rFont val="Tahoma"/>
            <family val="2"/>
          </rPr>
          <t>DRI: 1250mg
En deportistas necesidades probablemente mayores</t>
        </r>
      </text>
    </comment>
    <comment ref="I1" authorId="0" shapeId="0" xr:uid="{00000000-0006-0000-0100-000009000000}">
      <text>
        <r>
          <rPr>
            <b/>
            <sz val="11"/>
            <color indexed="81"/>
            <rFont val="Tahoma"/>
            <family val="2"/>
          </rPr>
          <t>DRI: 1000mg
En deportistas necesidades probablemente mayores</t>
        </r>
      </text>
    </comment>
    <comment ref="J1" authorId="0" shapeId="0" xr:uid="{00000000-0006-0000-0100-00000A000000}">
      <text>
        <r>
          <rPr>
            <b/>
            <sz val="11"/>
            <color indexed="81"/>
            <rFont val="Tahoma"/>
            <family val="2"/>
          </rPr>
          <t>DRI: 400mg
En deportistas necesidades probablemente mayores</t>
        </r>
        <r>
          <rPr>
            <sz val="9"/>
            <color indexed="81"/>
            <rFont val="Tahoma"/>
            <family val="2"/>
          </rPr>
          <t xml:space="preserve">
</t>
        </r>
      </text>
    </comment>
    <comment ref="A6" authorId="0" shapeId="0" xr:uid="{00000000-0006-0000-0100-00000B000000}">
      <text>
        <r>
          <rPr>
            <b/>
            <sz val="11"/>
            <color indexed="81"/>
            <rFont val="Tahoma"/>
            <family val="2"/>
          </rPr>
          <t>Calculado según precios productos "Mercadona"</t>
        </r>
      </text>
    </comment>
    <comment ref="B6" authorId="0" shapeId="0" xr:uid="{00000000-0006-0000-0100-00000C000000}">
      <text>
        <r>
          <rPr>
            <b/>
            <sz val="11"/>
            <color indexed="81"/>
            <rFont val="Tahoma"/>
            <family val="2"/>
          </rPr>
          <t>DRI: 300-500mg
En deportistas necesidades probablemente mayores</t>
        </r>
        <r>
          <rPr>
            <sz val="9"/>
            <color indexed="81"/>
            <rFont val="Tahoma"/>
            <family val="2"/>
          </rPr>
          <t xml:space="preserve">
</t>
        </r>
      </text>
    </comment>
    <comment ref="C6" authorId="0" shapeId="0" xr:uid="{00000000-0006-0000-0100-00000D000000}">
      <text>
        <r>
          <rPr>
            <b/>
            <sz val="11"/>
            <color indexed="81"/>
            <rFont val="Tahoma"/>
            <family val="2"/>
          </rPr>
          <t>DRI: 18 mg
En deportistas necesidades probablemente mayores</t>
        </r>
      </text>
    </comment>
    <comment ref="D6" authorId="0" shapeId="0" xr:uid="{00000000-0006-0000-0100-00000E000000}">
      <text>
        <r>
          <rPr>
            <b/>
            <sz val="11"/>
            <color indexed="81"/>
            <rFont val="Tahoma"/>
            <family val="2"/>
          </rPr>
          <t>DRI: 60mg
En deportistas necesidades probablemente mayores</t>
        </r>
      </text>
    </comment>
    <comment ref="E6" authorId="0" shapeId="0" xr:uid="{00000000-0006-0000-0100-00000F000000}">
      <text>
        <r>
          <rPr>
            <b/>
            <sz val="11"/>
            <color indexed="81"/>
            <rFont val="Tahoma"/>
            <family val="2"/>
          </rPr>
          <t>DRI: 1,5mg
En deportistas necesidades probablemente mayores</t>
        </r>
      </text>
    </comment>
    <comment ref="F6" authorId="0" shapeId="0" xr:uid="{00000000-0006-0000-0100-000010000000}">
      <text>
        <r>
          <rPr>
            <b/>
            <sz val="11"/>
            <color rgb="FF000000"/>
            <rFont val="Tahoma"/>
            <family val="2"/>
          </rPr>
          <t xml:space="preserve">DRI: 1,7mg
</t>
        </r>
        <r>
          <rPr>
            <b/>
            <sz val="11"/>
            <color rgb="FF000000"/>
            <rFont val="Tahoma"/>
            <family val="2"/>
          </rPr>
          <t>En deportistas necesidades probablemente mayores</t>
        </r>
      </text>
    </comment>
    <comment ref="G6" authorId="0" shapeId="0" xr:uid="{00000000-0006-0000-0100-000011000000}">
      <text>
        <r>
          <rPr>
            <b/>
            <sz val="11"/>
            <color indexed="81"/>
            <rFont val="Tahoma"/>
            <family val="2"/>
          </rPr>
          <t>DRI: 20mg
En deportistas necesidades probablemente mayores</t>
        </r>
      </text>
    </comment>
    <comment ref="H6" authorId="0" shapeId="0" xr:uid="{00000000-0006-0000-0100-000012000000}">
      <text>
        <r>
          <rPr>
            <b/>
            <sz val="11"/>
            <color indexed="81"/>
            <rFont val="Verdana"/>
            <family val="2"/>
          </rPr>
          <t>DRI: 50microg.
En deportistas necesidades probablemente mayores</t>
        </r>
      </text>
    </comment>
    <comment ref="I6" authorId="0" shapeId="0" xr:uid="{00000000-0006-0000-0100-000013000000}">
      <text>
        <r>
          <rPr>
            <b/>
            <sz val="11"/>
            <color indexed="81"/>
            <rFont val="Tahoma"/>
            <family val="2"/>
          </rPr>
          <t>DRI: 3000microg.
En deportistas necesidades probablemente mayores</t>
        </r>
        <r>
          <rPr>
            <sz val="9"/>
            <color indexed="81"/>
            <rFont val="Tahoma"/>
            <family val="2"/>
          </rPr>
          <t xml:space="preserve">
</t>
        </r>
      </text>
    </comment>
    <comment ref="A12" authorId="0" shapeId="0" xr:uid="{00000000-0006-0000-0100-000014000000}">
      <text>
        <r>
          <rPr>
            <b/>
            <sz val="11"/>
            <color indexed="81"/>
            <rFont val="Tahoma"/>
            <family val="2"/>
          </rPr>
          <t>Se recomienda entre un 15-30% del Total Calorico</t>
        </r>
      </text>
    </comment>
    <comment ref="A13" authorId="0" shapeId="0" xr:uid="{00000000-0006-0000-0100-000015000000}">
      <text>
        <r>
          <rPr>
            <b/>
            <sz val="11"/>
            <color indexed="81"/>
            <rFont val="Tahoma"/>
            <family val="2"/>
          </rPr>
          <t>Se recomienda entre un 20-35% del Total Calorico</t>
        </r>
      </text>
    </comment>
    <comment ref="A14" authorId="0" shapeId="0" xr:uid="{00000000-0006-0000-0100-000016000000}">
      <text>
        <r>
          <rPr>
            <b/>
            <sz val="11"/>
            <color indexed="81"/>
            <rFont val="Tahoma"/>
            <family val="2"/>
          </rPr>
          <t>Se recomienda entre un 40-60% del Total Calorico</t>
        </r>
        <r>
          <rPr>
            <sz val="11"/>
            <color indexed="81"/>
            <rFont val="Tahoma"/>
            <family val="2"/>
          </rPr>
          <t xml:space="preserve">
</t>
        </r>
      </text>
    </comment>
    <comment ref="A15" authorId="0" shapeId="0" xr:uid="{00000000-0006-0000-0100-000017000000}">
      <text>
        <r>
          <rPr>
            <b/>
            <sz val="11"/>
            <color indexed="81"/>
            <rFont val="Verdana"/>
            <family val="2"/>
          </rPr>
          <t>Se recomienda que la relacion Ca/P este entre 0,75-1</t>
        </r>
        <r>
          <rPr>
            <sz val="9"/>
            <color indexed="81"/>
            <rFont val="Tahoma"/>
            <family val="2"/>
          </rPr>
          <t xml:space="preserve">
</t>
        </r>
      </text>
    </comment>
    <comment ref="A17" authorId="0" shapeId="0" xr:uid="{00000000-0006-0000-0100-000018000000}">
      <text>
        <r>
          <rPr>
            <b/>
            <sz val="11"/>
            <color indexed="81"/>
            <rFont val="Verdana"/>
            <family val="2"/>
          </rPr>
          <t>Se recomienda menos de un 10% del Total Calorico</t>
        </r>
        <r>
          <rPr>
            <sz val="9"/>
            <color indexed="81"/>
            <rFont val="Tahoma"/>
            <family val="2"/>
          </rPr>
          <t xml:space="preserve">
</t>
        </r>
      </text>
    </comment>
    <comment ref="D17" authorId="0" shapeId="0" xr:uid="{00000000-0006-0000-0100-000019000000}">
      <text>
        <r>
          <rPr>
            <b/>
            <sz val="11"/>
            <color rgb="FF000000"/>
            <rFont val="Verdana"/>
            <family val="2"/>
          </rPr>
          <t>Al menos el 50% de la proteina debe ser de origen animal</t>
        </r>
      </text>
    </comment>
    <comment ref="C19" authorId="0" shapeId="0" xr:uid="{00000000-0006-0000-0100-00001A000000}">
      <text>
        <r>
          <rPr>
            <b/>
            <sz val="9"/>
            <color indexed="81"/>
            <rFont val="Tahoma"/>
            <family val="2"/>
          </rPr>
          <t>Se recomienda:
Minimo-1200Kcal
Maximo-5000Kcal</t>
        </r>
        <r>
          <rPr>
            <sz val="9"/>
            <color indexed="81"/>
            <rFont val="Tahoma"/>
            <family val="2"/>
          </rPr>
          <t xml:space="preserve">
</t>
        </r>
      </text>
    </comment>
    <comment ref="E19" authorId="0" shapeId="0" xr:uid="{00000000-0006-0000-0100-00001B000000}">
      <text>
        <r>
          <rPr>
            <b/>
            <sz val="9"/>
            <color rgb="FF000000"/>
            <rFont val="Tahoma"/>
            <family val="2"/>
          </rPr>
          <t xml:space="preserve">Se recomienda:
</t>
        </r>
        <r>
          <rPr>
            <b/>
            <sz val="9"/>
            <color rgb="FF000000"/>
            <rFont val="Tahoma"/>
            <family val="2"/>
          </rPr>
          <t xml:space="preserve">Minimo-50gr
</t>
        </r>
        <r>
          <rPr>
            <b/>
            <sz val="9"/>
            <color rgb="FF000000"/>
            <rFont val="Tahoma"/>
            <family val="2"/>
          </rPr>
          <t>Maximo-250gr</t>
        </r>
        <r>
          <rPr>
            <sz val="9"/>
            <color rgb="FF000000"/>
            <rFont val="Tahoma"/>
            <family val="2"/>
          </rPr>
          <t xml:space="preserve">
</t>
        </r>
      </text>
    </comment>
    <comment ref="G19" authorId="0" shapeId="0" xr:uid="{00000000-0006-0000-0100-00001C000000}">
      <text>
        <r>
          <rPr>
            <b/>
            <sz val="9"/>
            <color rgb="FF000000"/>
            <rFont val="Tahoma"/>
            <family val="2"/>
          </rPr>
          <t xml:space="preserve">Se recomienda:
</t>
        </r>
        <r>
          <rPr>
            <b/>
            <sz val="9"/>
            <color rgb="FF000000"/>
            <rFont val="Tahoma"/>
            <family val="2"/>
          </rPr>
          <t xml:space="preserve">Minimo-100gr
</t>
        </r>
        <r>
          <rPr>
            <b/>
            <sz val="9"/>
            <color rgb="FF000000"/>
            <rFont val="Tahoma"/>
            <family val="2"/>
          </rPr>
          <t>Maximo-500gr</t>
        </r>
        <r>
          <rPr>
            <sz val="9"/>
            <color rgb="FF000000"/>
            <rFont val="Tahoma"/>
            <family val="2"/>
          </rPr>
          <t xml:space="preserve">
</t>
        </r>
      </text>
    </comment>
    <comment ref="I19" authorId="0" shapeId="0" xr:uid="{00000000-0006-0000-0100-00001D000000}">
      <text>
        <r>
          <rPr>
            <b/>
            <sz val="9"/>
            <color indexed="81"/>
            <rFont val="Tahoma"/>
            <family val="2"/>
          </rPr>
          <t>Se recomienda:
Minimo-40gr
Maximo-100gr</t>
        </r>
        <r>
          <rPr>
            <sz val="9"/>
            <color indexed="81"/>
            <rFont val="Tahoma"/>
            <family val="2"/>
          </rPr>
          <t xml:space="preserve">
</t>
        </r>
      </text>
    </comment>
    <comment ref="C21" authorId="1" shapeId="0" xr:uid="{00000000-0006-0000-0100-00001E000000}">
      <text>
        <r>
          <rPr>
            <b/>
            <sz val="12"/>
            <color rgb="FF000000"/>
            <rFont val="Tahoma"/>
            <family val="2"/>
          </rPr>
          <t>Rellena las casillas en verde con cada una de las comidas de la dieta que desees realizar. Usa las pestañas de grupos de alimentos para realizar los calculos de nutrientes de la dieta que hayas propuesto</t>
        </r>
      </text>
    </comment>
  </commentList>
</comments>
</file>

<file path=xl/sharedStrings.xml><?xml version="1.0" encoding="utf-8"?>
<sst xmlns="http://schemas.openxmlformats.org/spreadsheetml/2006/main" count="801" uniqueCount="246">
  <si>
    <t>Aigua</t>
  </si>
  <si>
    <t>Calories</t>
  </si>
  <si>
    <t>Proteïna</t>
  </si>
  <si>
    <t>Lípids totals</t>
  </si>
  <si>
    <t>Glúcids totals</t>
  </si>
  <si>
    <t>Sodi: Na</t>
  </si>
  <si>
    <t>Potassi: K</t>
  </si>
  <si>
    <t>Fósfor: P</t>
  </si>
  <si>
    <t>Calci: Ca</t>
  </si>
  <si>
    <t>(g)</t>
  </si>
  <si>
    <t>(Kcal)</t>
  </si>
  <si>
    <t>((g)</t>
  </si>
  <si>
    <t>(mg)</t>
  </si>
  <si>
    <t>Ferro: Fe</t>
  </si>
  <si>
    <t>Vitamina C</t>
  </si>
  <si>
    <t xml:space="preserve">Tiamina </t>
  </si>
  <si>
    <t>Riboflavina</t>
  </si>
  <si>
    <t>Niacina</t>
  </si>
  <si>
    <t>Carotens</t>
  </si>
  <si>
    <t>Retinol</t>
  </si>
  <si>
    <t>(microg.)</t>
  </si>
  <si>
    <t>% Kcal Proteines</t>
  </si>
  <si>
    <t>Kcal Prot.</t>
  </si>
  <si>
    <t>% Kcal Lípids</t>
  </si>
  <si>
    <t>Kcal Lípids</t>
  </si>
  <si>
    <t>% Kcal Glúcids</t>
  </si>
  <si>
    <t>Kcal Glúcids</t>
  </si>
  <si>
    <t>Relació Ca/P</t>
  </si>
  <si>
    <t>Total Kcal</t>
  </si>
  <si>
    <t>% Glucids simples</t>
  </si>
  <si>
    <t>% Prot. Anim.</t>
  </si>
  <si>
    <t>HORA</t>
  </si>
  <si>
    <t>Cereals i derivats</t>
  </si>
  <si>
    <t>Llegums seques</t>
  </si>
  <si>
    <t>Verdures</t>
  </si>
  <si>
    <t>Fruita</t>
  </si>
  <si>
    <t>Olis i greixos</t>
  </si>
  <si>
    <t>Productes ensucrats, cacau i xocolata</t>
  </si>
  <si>
    <t>Begudes</t>
  </si>
  <si>
    <t>Totals</t>
  </si>
  <si>
    <t>KCAL:</t>
  </si>
  <si>
    <t>PROT:</t>
  </si>
  <si>
    <t>GRASA:</t>
  </si>
  <si>
    <t>HC:</t>
  </si>
  <si>
    <t>Preu</t>
  </si>
  <si>
    <t>(euros)</t>
  </si>
  <si>
    <t>(euros/100gr)</t>
  </si>
  <si>
    <t>Sodio: Na</t>
  </si>
  <si>
    <t>Fósforo: P</t>
  </si>
  <si>
    <t>Calcio: Ca</t>
  </si>
  <si>
    <t>Hierro: Fe</t>
  </si>
  <si>
    <t>Precio</t>
  </si>
  <si>
    <t>Agua (g)</t>
  </si>
  <si>
    <t>Calorias (Kcal)</t>
  </si>
  <si>
    <t>% Kcal Grasa</t>
  </si>
  <si>
    <t>% Kcal Glúcidos</t>
  </si>
  <si>
    <t>Relación Ca/P</t>
  </si>
  <si>
    <t>% Kcal Proteínas</t>
  </si>
  <si>
    <t>Kcal Grasa</t>
  </si>
  <si>
    <t>Kcal Glúcidos</t>
  </si>
  <si>
    <t>% Glúcidos simples</t>
  </si>
  <si>
    <t>1era</t>
  </si>
  <si>
    <t>2a</t>
  </si>
  <si>
    <t>3a</t>
  </si>
  <si>
    <t>5a</t>
  </si>
  <si>
    <t>Retinol-A</t>
  </si>
  <si>
    <t>Colesterol</t>
  </si>
  <si>
    <t>(Euros)</t>
  </si>
  <si>
    <t>Ac. Fólico</t>
  </si>
  <si>
    <t>Magnesio</t>
  </si>
  <si>
    <t>Magnesi</t>
  </si>
  <si>
    <t>Hombre</t>
  </si>
  <si>
    <t>Mujer</t>
  </si>
  <si>
    <t>Baja</t>
  </si>
  <si>
    <t>Media</t>
  </si>
  <si>
    <t>Alta</t>
  </si>
  <si>
    <t>Vitamina D</t>
  </si>
  <si>
    <t>Edad</t>
  </si>
  <si>
    <t>Peso</t>
  </si>
  <si>
    <t>Actividad</t>
  </si>
  <si>
    <t>Sexo</t>
  </si>
  <si>
    <t>Sedentario</t>
  </si>
  <si>
    <t>Activo</t>
  </si>
  <si>
    <t>Energia Estimada para Mantenimiento</t>
  </si>
  <si>
    <t>CALCULO DE REQUISITOS ENERGÉTICOS DIARIOS</t>
  </si>
  <si>
    <t>Menos de 40 años</t>
  </si>
  <si>
    <t>Mas de 40 años</t>
  </si>
  <si>
    <t>Tendencia Corporal</t>
  </si>
  <si>
    <t>Suelo Engordar Facil</t>
  </si>
  <si>
    <t>Suelo Adelgazar Facil</t>
  </si>
  <si>
    <t>Hipertrofia o Aumento de Peso</t>
  </si>
  <si>
    <t>Definicion o Pérdida de Peso</t>
  </si>
  <si>
    <t>Cantidad</t>
  </si>
  <si>
    <t>Frutos Secos y Deshidratada- Fruita seca i Deshidratada</t>
  </si>
  <si>
    <t>Fibra</t>
  </si>
  <si>
    <t>Zinc</t>
  </si>
  <si>
    <t>Vitamina E</t>
  </si>
  <si>
    <t>Vitamina K</t>
  </si>
  <si>
    <t>Leucina</t>
  </si>
  <si>
    <t>Hidratos de Carbono (g)</t>
  </si>
  <si>
    <t>Grasas (g)</t>
  </si>
  <si>
    <t>Proteínas (g)</t>
  </si>
  <si>
    <t>Acido Fólico</t>
  </si>
  <si>
    <t>Potasio: K</t>
  </si>
  <si>
    <t>Peso Actual</t>
  </si>
  <si>
    <t>Peso Objetivo</t>
  </si>
  <si>
    <t>Semanas Previstas para llegar al Peso Objetivo</t>
  </si>
  <si>
    <t>Meses</t>
  </si>
  <si>
    <t>CALCULO DE TEMPORALIZACIÓN DE OBJETIVOS PARA PERDIDA DE GRASA</t>
  </si>
  <si>
    <t>CALCULO DE TEMPORALIZACIÓN DE OBJETIVOS PARA AUMENTO DE MUSCULO</t>
  </si>
  <si>
    <t>Carnes</t>
  </si>
  <si>
    <t>Caballo</t>
  </si>
  <si>
    <t>Ternera (Bistec)</t>
  </si>
  <si>
    <t>Cordero</t>
  </si>
  <si>
    <t>Cerdo (Lomo)</t>
  </si>
  <si>
    <t>Conejo</t>
  </si>
  <si>
    <t>Pavo, Fiambre</t>
  </si>
  <si>
    <t>Ternera (Higado)</t>
  </si>
  <si>
    <t>Jamón Cocido</t>
  </si>
  <si>
    <t>Jamón Curado</t>
  </si>
  <si>
    <t>Embutidos Curados (Chorizo, Salchichón)</t>
  </si>
  <si>
    <t>Embutidos Cocidos (Butifarra, Salchichas)</t>
  </si>
  <si>
    <t>Pavo, Pechuga sin Piel</t>
  </si>
  <si>
    <t>Pollo, Pechuga sin Piel</t>
  </si>
  <si>
    <t>Hamburguesa de Ternera</t>
  </si>
  <si>
    <t>Hamburguesa de Pollo</t>
  </si>
  <si>
    <t>Pescado Blanco (Merluza, Mero, Lenguado)</t>
  </si>
  <si>
    <t>Pescado azul (Sardina, Caballa)</t>
  </si>
  <si>
    <t>Crustaceos</t>
  </si>
  <si>
    <t>Moluscos</t>
  </si>
  <si>
    <t>Atún, lata aceite de oliva (escurrido)</t>
  </si>
  <si>
    <t>Sardina, lata aceite oliva</t>
  </si>
  <si>
    <t>Atún, lata al natural (escurrido)</t>
  </si>
  <si>
    <t>Panga</t>
  </si>
  <si>
    <t>Pescados</t>
  </si>
  <si>
    <t>Huevo Clara</t>
  </si>
  <si>
    <t>Huevo Yema</t>
  </si>
  <si>
    <t>Flan de huevo</t>
  </si>
  <si>
    <t>Carbohidratos en Polvo</t>
  </si>
  <si>
    <t>Proteina de Suero (Aislado )</t>
  </si>
  <si>
    <t>Proteina de Suero (Concentrado)</t>
  </si>
  <si>
    <t>Leche de Vaca, entera</t>
  </si>
  <si>
    <t>Leche de Vaca, desnatada</t>
  </si>
  <si>
    <t>Leche de Soja</t>
  </si>
  <si>
    <t>Yogur</t>
  </si>
  <si>
    <t>Queso Fresco</t>
  </si>
  <si>
    <t>Queso Semi</t>
  </si>
  <si>
    <t>Queso Curado</t>
  </si>
  <si>
    <t>Queso para Fundir</t>
  </si>
  <si>
    <t>Yogur Liquido, desnatado</t>
  </si>
  <si>
    <t>Helado Cremoso</t>
  </si>
  <si>
    <t>Queso Fresco Batido 0%</t>
  </si>
  <si>
    <t>Queso Gouda Light (Bon Area)</t>
  </si>
  <si>
    <t>Leche vaca semidesnatada</t>
  </si>
  <si>
    <t>Arroz Blanco, Crudo</t>
  </si>
  <si>
    <t>Arroz Integral, Crudo</t>
  </si>
  <si>
    <t>Pan Blanco</t>
  </si>
  <si>
    <t>Pan Integral</t>
  </si>
  <si>
    <t>Biscottes</t>
  </si>
  <si>
    <t>Galleta Maria</t>
  </si>
  <si>
    <t>Pasta, Cruda</t>
  </si>
  <si>
    <t>Cereales Desayuno</t>
  </si>
  <si>
    <t>Avena</t>
  </si>
  <si>
    <t>Weetabix</t>
  </si>
  <si>
    <t>Quinoa</t>
  </si>
  <si>
    <t>Muesli</t>
  </si>
  <si>
    <t>Judias, en seco</t>
  </si>
  <si>
    <t xml:space="preserve">Lentejas, en seco </t>
  </si>
  <si>
    <t>Garbanzos, en seco</t>
  </si>
  <si>
    <t xml:space="preserve">Guisante congelado, crudo </t>
  </si>
  <si>
    <t>Judias en conserva (bote)</t>
  </si>
  <si>
    <t>Garbanzos en conserva (bote)</t>
  </si>
  <si>
    <t>Lentejas en conserva (bote)</t>
  </si>
  <si>
    <t>Patatas</t>
  </si>
  <si>
    <t>Zanahoria</t>
  </si>
  <si>
    <t>Coles y Verduras de hoja</t>
  </si>
  <si>
    <t>Brocoli</t>
  </si>
  <si>
    <t>Lechuga, endivias y escarolas</t>
  </si>
  <si>
    <t>Esparragos</t>
  </si>
  <si>
    <t>Tomate</t>
  </si>
  <si>
    <t>Guisantes</t>
  </si>
  <si>
    <t>Judias Verdes (cocidas)</t>
  </si>
  <si>
    <t>Cebolla</t>
  </si>
  <si>
    <t>Pimiento</t>
  </si>
  <si>
    <t>Berenjena, Pepino, Calabacin</t>
  </si>
  <si>
    <t>Champiñones</t>
  </si>
  <si>
    <t xml:space="preserve">Ensalada Verde (lechuga, tomate, cebolla, pepino) </t>
  </si>
  <si>
    <t>Citricos y Kiwi</t>
  </si>
  <si>
    <t>Manzanas, Peras</t>
  </si>
  <si>
    <t>Uva</t>
  </si>
  <si>
    <t>Platanos</t>
  </si>
  <si>
    <t>Higos</t>
  </si>
  <si>
    <t>Melón y Sandia</t>
  </si>
  <si>
    <t>Piña Fresca</t>
  </si>
  <si>
    <t>Aguacate</t>
  </si>
  <si>
    <t>Fruites con hues (melocotones, albaricoques, cerezas)</t>
  </si>
  <si>
    <t>Dátiles</t>
  </si>
  <si>
    <t>Higos,secos</t>
  </si>
  <si>
    <t>Ciruelas, secas</t>
  </si>
  <si>
    <t>Almendas, Avellanas, Nueces</t>
  </si>
  <si>
    <t>Cacahuetes y Almendras Salados</t>
  </si>
  <si>
    <t>Castañas</t>
  </si>
  <si>
    <t>Pasas</t>
  </si>
  <si>
    <t xml:space="preserve">Aceite de Oliva </t>
  </si>
  <si>
    <t>Manteca</t>
  </si>
  <si>
    <t xml:space="preserve">Aceite de Girasol </t>
  </si>
  <si>
    <t>Nata</t>
  </si>
  <si>
    <t>Margarina vegetal</t>
  </si>
  <si>
    <t>Mantequilla</t>
  </si>
  <si>
    <t>Aceituna verde en salmuera</t>
  </si>
  <si>
    <t>Mayonesa Light</t>
  </si>
  <si>
    <t>Azúcar, caramelos</t>
  </si>
  <si>
    <t>Mermelada</t>
  </si>
  <si>
    <t>Miel</t>
  </si>
  <si>
    <t>Cacao en polvo</t>
  </si>
  <si>
    <t>Chocolate con Leche y azucar</t>
  </si>
  <si>
    <t>Croissant</t>
  </si>
  <si>
    <t>Donut Comercial</t>
  </si>
  <si>
    <t>Horchata</t>
  </si>
  <si>
    <t>Bebidas Carbonatadas Azucaradas</t>
  </si>
  <si>
    <t>Zumos de Fruta</t>
  </si>
  <si>
    <t>Zumos de Tomate</t>
  </si>
  <si>
    <t>Cerveza y Sidra</t>
  </si>
  <si>
    <t>Vino y Cava</t>
  </si>
  <si>
    <t>Licores de Frutas y Similares</t>
  </si>
  <si>
    <t>Cognac, whisky, ginebra y similares</t>
  </si>
  <si>
    <t>Huevos</t>
  </si>
  <si>
    <t>Suplementos Deportivos</t>
  </si>
  <si>
    <t>Leche y Derivados</t>
  </si>
  <si>
    <r>
      <t xml:space="preserve">Ganador de Peso </t>
    </r>
    <r>
      <rPr>
        <i/>
        <sz val="10"/>
        <rFont val="Arial"/>
        <family val="2"/>
      </rPr>
      <t>Gainer</t>
    </r>
    <r>
      <rPr>
        <sz val="10"/>
        <rFont val="Arial"/>
        <family val="2"/>
      </rPr>
      <t xml:space="preserve"> (60HC/30Prot)</t>
    </r>
  </si>
  <si>
    <t>Huevo Entero</t>
  </si>
  <si>
    <t>Salmón</t>
  </si>
  <si>
    <t>Yogur Griego</t>
  </si>
  <si>
    <t>Crema de Verduras</t>
  </si>
  <si>
    <t>Menestra de Verduras</t>
  </si>
  <si>
    <t>Gazpacho</t>
  </si>
  <si>
    <t>Tortitas de arroz</t>
  </si>
  <si>
    <t>Arroz Integral, Cocido</t>
  </si>
  <si>
    <t>pre cama</t>
  </si>
  <si>
    <t>4ª</t>
  </si>
  <si>
    <t>Post entrenamiento</t>
  </si>
  <si>
    <t>50 arroz + 150g pollo + 100g verduras +20g aguacate</t>
  </si>
  <si>
    <t>tortitas avena  (1 huevos + 150 ml claras + 50 g harina de arroz o harina avena  + 75g frutos rojos)</t>
  </si>
  <si>
    <t>200g patata asada + 150 ternera + 100g verduras + 15g cacao</t>
  </si>
  <si>
    <t>35g proteina + 20g arroz + 1 platano</t>
  </si>
  <si>
    <t>tortitas avena  (1 huevos + 150 ml claras + 50 g harina de arroz o harina avena  + 75g frutos rojos) o 35g proteina + 30g tortitas arroz + platano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</si>
</sst>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b/>
      <sz val="10"/>
      <name val="Arial"/>
      <family val="2"/>
    </font>
    <font>
      <b/>
      <sz val="12"/>
      <name val="Arial"/>
      <family val="2"/>
    </font>
    <font>
      <sz val="10"/>
      <name val="Arial"/>
      <family val="2"/>
    </font>
    <font>
      <sz val="12"/>
      <name val="Arial"/>
      <family val="2"/>
    </font>
    <font>
      <b/>
      <sz val="12"/>
      <color theme="4"/>
      <name val="Arial"/>
      <family val="2"/>
    </font>
    <font>
      <b/>
      <sz val="12"/>
      <color theme="6" tint="-0.499984740745262"/>
      <name val="Arial"/>
      <family val="2"/>
    </font>
    <font>
      <b/>
      <sz val="12"/>
      <color rgb="FFC00000"/>
      <name val="Arial"/>
      <family val="2"/>
    </font>
    <font>
      <sz val="12"/>
      <color theme="4"/>
      <name val="Arial"/>
      <family val="2"/>
    </font>
    <font>
      <sz val="12"/>
      <color theme="6" tint="-0.499984740745262"/>
      <name val="Arial"/>
      <family val="2"/>
    </font>
    <font>
      <sz val="12"/>
      <color rgb="FFC00000"/>
      <name val="Arial"/>
      <family val="2"/>
    </font>
    <font>
      <b/>
      <sz val="11"/>
      <name val="Arial"/>
      <family val="2"/>
    </font>
    <font>
      <sz val="9"/>
      <color indexed="81"/>
      <name val="Tahoma"/>
      <family val="2"/>
    </font>
    <font>
      <b/>
      <sz val="9"/>
      <color indexed="81"/>
      <name val="Tahoma"/>
      <family val="2"/>
    </font>
    <font>
      <b/>
      <sz val="11"/>
      <color indexed="81"/>
      <name val="Verdana"/>
      <family val="2"/>
    </font>
    <font>
      <b/>
      <sz val="11"/>
      <color indexed="81"/>
      <name val="Tahoma"/>
      <family val="2"/>
    </font>
    <font>
      <sz val="11"/>
      <color indexed="81"/>
      <name val="Tahoma"/>
      <family val="2"/>
    </font>
    <font>
      <i/>
      <sz val="12"/>
      <name val="Arial"/>
      <family val="2"/>
    </font>
    <font>
      <i/>
      <sz val="10"/>
      <name val="Arial"/>
      <family val="2"/>
    </font>
    <font>
      <b/>
      <sz val="14"/>
      <name val="Arial"/>
      <family val="2"/>
    </font>
    <font>
      <b/>
      <sz val="12"/>
      <color rgb="FF000000"/>
      <name val="Tahoma"/>
      <family val="2"/>
    </font>
    <font>
      <sz val="12"/>
      <color theme="1"/>
      <name val="Arial"/>
      <family val="2"/>
    </font>
    <font>
      <b/>
      <sz val="9"/>
      <color rgb="FF000000"/>
      <name val="Tahoma"/>
      <family val="2"/>
    </font>
    <font>
      <sz val="9"/>
      <color rgb="FF000000"/>
      <name val="Tahoma"/>
      <family val="2"/>
    </font>
    <font>
      <b/>
      <sz val="11"/>
      <color rgb="FF000000"/>
      <name val="Verdana"/>
      <family val="2"/>
    </font>
    <font>
      <b/>
      <sz val="11"/>
      <color rgb="FF000000"/>
      <name val="Tahoma"/>
      <family val="2"/>
    </font>
  </fonts>
  <fills count="25">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FFCC"/>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1"/>
        <bgColor indexed="64"/>
      </patternFill>
    </fill>
    <fill>
      <patternFill patternType="solid">
        <fgColor theme="4" tint="0.79998168889431442"/>
        <bgColor indexed="64"/>
      </patternFill>
    </fill>
    <fill>
      <patternFill patternType="solid">
        <fgColor theme="1" tint="4.9989318521683403E-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3" tint="0.79998168889431442"/>
        <bgColor indexed="64"/>
      </patternFill>
    </fill>
  </fills>
  <borders count="4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style="thin">
        <color auto="1"/>
      </right>
      <top/>
      <bottom style="thin">
        <color auto="1"/>
      </bottom>
      <diagonal/>
    </border>
    <border>
      <left style="medium">
        <color auto="1"/>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diagonal/>
    </border>
    <border>
      <left style="medium">
        <color auto="1"/>
      </left>
      <right/>
      <top/>
      <bottom style="thin">
        <color auto="1"/>
      </bottom>
      <diagonal/>
    </border>
    <border>
      <left style="thin">
        <color auto="1"/>
      </left>
      <right style="thin">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bottom style="thin">
        <color auto="1"/>
      </bottom>
      <diagonal/>
    </border>
    <border>
      <left/>
      <right style="medium">
        <color auto="1"/>
      </right>
      <top/>
      <bottom style="thin">
        <color auto="1"/>
      </bottom>
      <diagonal/>
    </border>
    <border>
      <left style="thin">
        <color auto="1"/>
      </left>
      <right style="thin">
        <color auto="1"/>
      </right>
      <top/>
      <bottom style="medium">
        <color auto="1"/>
      </bottom>
      <diagonal/>
    </border>
  </borders>
  <cellStyleXfs count="1">
    <xf numFmtId="0" fontId="0" fillId="0" borderId="0"/>
  </cellStyleXfs>
  <cellXfs count="188">
    <xf numFmtId="0" fontId="0" fillId="0" borderId="0" xfId="0"/>
    <xf numFmtId="0" fontId="1" fillId="0" borderId="0" xfId="0" applyFont="1"/>
    <xf numFmtId="0" fontId="2" fillId="0" borderId="0" xfId="0" applyFont="1"/>
    <xf numFmtId="0" fontId="0" fillId="2" borderId="0" xfId="0" applyFill="1"/>
    <xf numFmtId="0" fontId="0" fillId="0" borderId="1" xfId="0" applyBorder="1"/>
    <xf numFmtId="0" fontId="2" fillId="0" borderId="2" xfId="0" applyFont="1" applyBorder="1"/>
    <xf numFmtId="0" fontId="2"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9" xfId="0" applyFont="1" applyBorder="1"/>
    <xf numFmtId="0" fontId="3" fillId="2" borderId="0" xfId="0" applyFont="1" applyFill="1"/>
    <xf numFmtId="0" fontId="0" fillId="2" borderId="0" xfId="0" applyFill="1" applyAlignment="1">
      <alignment wrapText="1"/>
    </xf>
    <xf numFmtId="0" fontId="0" fillId="2" borderId="0" xfId="0" applyFill="1" applyBorder="1" applyAlignment="1">
      <alignment wrapText="1"/>
    </xf>
    <xf numFmtId="0" fontId="2" fillId="2" borderId="10" xfId="0" applyFont="1" applyFill="1" applyBorder="1"/>
    <xf numFmtId="0" fontId="1" fillId="3" borderId="2" xfId="0" applyFont="1" applyFill="1" applyBorder="1"/>
    <xf numFmtId="0" fontId="1" fillId="3" borderId="3" xfId="0" applyFont="1" applyFill="1" applyBorder="1"/>
    <xf numFmtId="0" fontId="2" fillId="4" borderId="9" xfId="0" applyFont="1" applyFill="1" applyBorder="1"/>
    <xf numFmtId="0" fontId="0" fillId="5" borderId="11" xfId="0" applyFill="1" applyBorder="1"/>
    <xf numFmtId="0" fontId="0" fillId="5" borderId="12" xfId="0" applyFill="1" applyBorder="1"/>
    <xf numFmtId="0" fontId="0" fillId="5" borderId="13" xfId="0" applyFill="1" applyBorder="1"/>
    <xf numFmtId="0" fontId="3" fillId="0" borderId="1" xfId="0" applyFont="1" applyBorder="1"/>
    <xf numFmtId="0" fontId="3" fillId="0" borderId="14" xfId="0" applyFont="1" applyBorder="1"/>
    <xf numFmtId="0" fontId="0" fillId="5" borderId="11" xfId="0" applyNumberFormat="1" applyFill="1" applyBorder="1"/>
    <xf numFmtId="0" fontId="0" fillId="5" borderId="12" xfId="0" applyNumberFormat="1" applyFill="1" applyBorder="1"/>
    <xf numFmtId="0" fontId="2" fillId="8" borderId="9" xfId="0" applyFont="1" applyFill="1" applyBorder="1" applyAlignment="1">
      <alignment horizontal="center" vertical="center" wrapText="1"/>
    </xf>
    <xf numFmtId="0" fontId="2" fillId="10" borderId="9" xfId="0" applyFont="1" applyFill="1" applyBorder="1" applyAlignment="1">
      <alignment horizontal="center" vertical="center"/>
    </xf>
    <xf numFmtId="0" fontId="2" fillId="2" borderId="0"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2" fillId="13" borderId="9" xfId="0" applyFont="1" applyFill="1" applyBorder="1" applyAlignment="1">
      <alignment horizontal="center" vertical="center" wrapText="1"/>
    </xf>
    <xf numFmtId="0" fontId="2" fillId="12" borderId="9" xfId="0" applyFont="1" applyFill="1" applyBorder="1" applyAlignment="1">
      <alignment horizontal="center" vertical="center" wrapText="1"/>
    </xf>
    <xf numFmtId="0" fontId="0" fillId="5" borderId="26" xfId="0" applyFill="1" applyBorder="1"/>
    <xf numFmtId="0" fontId="0" fillId="5" borderId="1" xfId="0" applyFill="1" applyBorder="1"/>
    <xf numFmtId="0" fontId="1" fillId="8" borderId="3" xfId="0" applyFont="1" applyFill="1" applyBorder="1" applyAlignment="1">
      <alignment horizontal="center" vertical="top"/>
    </xf>
    <xf numFmtId="0" fontId="1" fillId="8" borderId="2" xfId="0" applyFont="1" applyFill="1" applyBorder="1" applyAlignment="1">
      <alignment horizontal="center"/>
    </xf>
    <xf numFmtId="0" fontId="1" fillId="11" borderId="2" xfId="0" applyFont="1" applyFill="1" applyBorder="1" applyAlignment="1">
      <alignment horizontal="center"/>
    </xf>
    <xf numFmtId="0" fontId="1" fillId="11" borderId="3" xfId="0" applyFont="1" applyFill="1" applyBorder="1" applyAlignment="1">
      <alignment horizontal="center" vertical="top"/>
    </xf>
    <xf numFmtId="0" fontId="2" fillId="15" borderId="3" xfId="0" applyFont="1" applyFill="1" applyBorder="1" applyAlignment="1">
      <alignment horizontal="center" vertical="center"/>
    </xf>
    <xf numFmtId="0" fontId="0" fillId="0" borderId="0" xfId="0" applyBorder="1"/>
    <xf numFmtId="0" fontId="0" fillId="0" borderId="0" xfId="0" applyFill="1" applyBorder="1"/>
    <xf numFmtId="0" fontId="3" fillId="0" borderId="27" xfId="0" applyFont="1" applyBorder="1"/>
    <xf numFmtId="0" fontId="0" fillId="0" borderId="28" xfId="0" applyBorder="1"/>
    <xf numFmtId="0" fontId="0" fillId="0" borderId="29" xfId="0" applyBorder="1"/>
    <xf numFmtId="0" fontId="3"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3" fillId="0" borderId="0" xfId="0" applyFont="1"/>
    <xf numFmtId="0" fontId="0" fillId="18" borderId="0" xfId="0" applyFill="1"/>
    <xf numFmtId="0" fontId="0" fillId="20" borderId="0" xfId="0" applyFill="1" applyBorder="1"/>
    <xf numFmtId="0" fontId="0" fillId="20" borderId="0" xfId="0" applyFill="1" applyBorder="1" applyAlignment="1">
      <alignment horizontal="center" vertical="center"/>
    </xf>
    <xf numFmtId="0" fontId="0" fillId="5" borderId="36" xfId="0" applyFill="1" applyBorder="1"/>
    <xf numFmtId="0" fontId="1" fillId="4" borderId="9" xfId="0" applyFont="1" applyFill="1" applyBorder="1" applyAlignment="1">
      <alignment horizontal="center" vertical="center"/>
    </xf>
    <xf numFmtId="0" fontId="3" fillId="5" borderId="12" xfId="0" applyFont="1" applyFill="1" applyBorder="1"/>
    <xf numFmtId="0" fontId="0" fillId="5" borderId="37" xfId="0" applyFill="1" applyBorder="1"/>
    <xf numFmtId="0" fontId="3" fillId="0" borderId="37" xfId="0" applyFont="1" applyBorder="1"/>
    <xf numFmtId="0" fontId="0" fillId="0" borderId="37" xfId="0" applyBorder="1"/>
    <xf numFmtId="0" fontId="3" fillId="0" borderId="37" xfId="0" applyFont="1" applyBorder="1" applyAlignment="1">
      <alignment horizontal="left" vertical="center"/>
    </xf>
    <xf numFmtId="0" fontId="1" fillId="13" borderId="1" xfId="0" applyFont="1" applyFill="1" applyBorder="1" applyAlignment="1" applyProtection="1">
      <alignment horizontal="center" vertical="center" wrapText="1"/>
    </xf>
    <xf numFmtId="0" fontId="1" fillId="13" borderId="1" xfId="0" applyFont="1" applyFill="1" applyBorder="1" applyAlignment="1" applyProtection="1">
      <alignment horizontal="center" vertical="center"/>
    </xf>
    <xf numFmtId="0" fontId="1" fillId="23" borderId="1" xfId="0" applyFont="1" applyFill="1" applyBorder="1" applyAlignment="1" applyProtection="1">
      <alignment horizontal="center" vertical="center"/>
    </xf>
    <xf numFmtId="0" fontId="1" fillId="22" borderId="1" xfId="0" applyFont="1" applyFill="1" applyBorder="1" applyAlignment="1" applyProtection="1">
      <alignment horizontal="center" vertical="center"/>
    </xf>
    <xf numFmtId="0" fontId="0" fillId="19" borderId="14" xfId="0" applyFill="1" applyBorder="1" applyAlignment="1" applyProtection="1">
      <alignment horizontal="center" vertical="center"/>
      <protection locked="0"/>
    </xf>
    <xf numFmtId="0" fontId="0" fillId="19" borderId="1" xfId="0" applyFill="1" applyBorder="1" applyAlignment="1" applyProtection="1">
      <alignment horizontal="center" vertical="center"/>
      <protection locked="0"/>
    </xf>
    <xf numFmtId="0" fontId="0" fillId="19" borderId="0" xfId="0" applyFill="1" applyBorder="1" applyAlignment="1" applyProtection="1">
      <alignment horizontal="center" vertical="center"/>
      <protection locked="0"/>
    </xf>
    <xf numFmtId="0" fontId="1" fillId="19" borderId="14" xfId="0" applyFont="1" applyFill="1" applyBorder="1" applyAlignment="1" applyProtection="1">
      <alignment horizontal="center" vertical="center"/>
    </xf>
    <xf numFmtId="0" fontId="1" fillId="19" borderId="1" xfId="0" applyFont="1" applyFill="1" applyBorder="1" applyAlignment="1" applyProtection="1">
      <alignment horizontal="center" vertical="center"/>
    </xf>
    <xf numFmtId="0" fontId="1" fillId="19" borderId="35" xfId="0" applyFont="1" applyFill="1" applyBorder="1" applyAlignment="1" applyProtection="1">
      <alignment horizontal="center" vertical="center"/>
    </xf>
    <xf numFmtId="0" fontId="0" fillId="5" borderId="15" xfId="0" applyFill="1" applyBorder="1"/>
    <xf numFmtId="0" fontId="3" fillId="0" borderId="46" xfId="0" applyFont="1" applyBorder="1" applyAlignment="1">
      <alignment horizontal="left" vertical="center"/>
    </xf>
    <xf numFmtId="0" fontId="0" fillId="0" borderId="46" xfId="0" applyBorder="1"/>
    <xf numFmtId="0" fontId="3" fillId="0" borderId="1" xfId="0" applyFont="1" applyBorder="1" applyAlignment="1">
      <alignment horizontal="left" vertical="center"/>
    </xf>
    <xf numFmtId="0" fontId="19" fillId="21" borderId="24" xfId="0" applyFont="1" applyFill="1" applyBorder="1" applyAlignment="1">
      <alignment horizontal="center" vertical="center"/>
    </xf>
    <xf numFmtId="0" fontId="19" fillId="21" borderId="10" xfId="0" applyFont="1" applyFill="1" applyBorder="1" applyAlignment="1">
      <alignment horizontal="center" vertical="center"/>
    </xf>
    <xf numFmtId="0" fontId="19" fillId="21" borderId="25" xfId="0" applyFont="1" applyFill="1" applyBorder="1" applyAlignment="1">
      <alignment horizontal="center" vertical="center"/>
    </xf>
    <xf numFmtId="0" fontId="2" fillId="24" borderId="26" xfId="0" applyFont="1" applyFill="1" applyBorder="1" applyAlignment="1">
      <alignment horizontal="center" vertical="center" wrapText="1"/>
    </xf>
    <xf numFmtId="0" fontId="2" fillId="24" borderId="38" xfId="0" applyFont="1" applyFill="1" applyBorder="1" applyAlignment="1">
      <alignment horizontal="center" vertical="center" wrapText="1"/>
    </xf>
    <xf numFmtId="0" fontId="2" fillId="24" borderId="39" xfId="0" applyFont="1" applyFill="1" applyBorder="1" applyAlignment="1">
      <alignment horizontal="center" vertical="center" wrapText="1"/>
    </xf>
    <xf numFmtId="0" fontId="2" fillId="24" borderId="15" xfId="0" applyFont="1" applyFill="1" applyBorder="1" applyAlignment="1">
      <alignment horizontal="center" vertical="center" wrapText="1"/>
    </xf>
    <xf numFmtId="0" fontId="2" fillId="24" borderId="22" xfId="0" applyFont="1" applyFill="1" applyBorder="1" applyAlignment="1">
      <alignment horizontal="center" vertical="center" wrapText="1"/>
    </xf>
    <xf numFmtId="0" fontId="2" fillId="24" borderId="18" xfId="0" applyFont="1" applyFill="1" applyBorder="1" applyAlignment="1">
      <alignment horizontal="center" vertical="center" wrapText="1"/>
    </xf>
    <xf numFmtId="0" fontId="4" fillId="24" borderId="20" xfId="0" applyFont="1" applyFill="1" applyBorder="1" applyAlignment="1">
      <alignment horizontal="center" vertical="center"/>
    </xf>
    <xf numFmtId="0" fontId="4" fillId="24" borderId="0" xfId="0" applyFont="1" applyFill="1" applyBorder="1" applyAlignment="1">
      <alignment horizontal="center" vertical="center"/>
    </xf>
    <xf numFmtId="0" fontId="4" fillId="24" borderId="21" xfId="0" applyFont="1" applyFill="1" applyBorder="1" applyAlignment="1">
      <alignment horizontal="center" vertical="center"/>
    </xf>
    <xf numFmtId="0" fontId="4" fillId="24" borderId="15" xfId="0" applyFont="1" applyFill="1" applyBorder="1" applyAlignment="1">
      <alignment horizontal="center" vertical="center"/>
    </xf>
    <xf numFmtId="0" fontId="4" fillId="24" borderId="22" xfId="0" applyFont="1" applyFill="1" applyBorder="1" applyAlignment="1">
      <alignment horizontal="center" vertical="center"/>
    </xf>
    <xf numFmtId="0" fontId="4" fillId="24" borderId="18" xfId="0" applyFont="1" applyFill="1" applyBorder="1" applyAlignment="1">
      <alignment horizontal="center" vertical="center"/>
    </xf>
    <xf numFmtId="0" fontId="2" fillId="19" borderId="36" xfId="0" applyFont="1" applyFill="1" applyBorder="1" applyAlignment="1">
      <alignment horizontal="center" vertical="center"/>
    </xf>
    <xf numFmtId="0" fontId="2" fillId="19" borderId="44" xfId="0" applyFont="1" applyFill="1" applyBorder="1" applyAlignment="1">
      <alignment horizontal="center" vertical="center"/>
    </xf>
    <xf numFmtId="0" fontId="2" fillId="19" borderId="45" xfId="0" applyFont="1" applyFill="1" applyBorder="1" applyAlignment="1">
      <alignment horizontal="center" vertical="center"/>
    </xf>
    <xf numFmtId="0" fontId="2" fillId="19" borderId="12" xfId="0" applyFont="1" applyFill="1" applyBorder="1" applyAlignment="1">
      <alignment horizontal="center" vertical="center" wrapText="1"/>
    </xf>
    <xf numFmtId="0" fontId="2" fillId="19" borderId="40" xfId="0" applyFont="1" applyFill="1" applyBorder="1" applyAlignment="1">
      <alignment horizontal="center" vertical="center" wrapText="1"/>
    </xf>
    <xf numFmtId="0" fontId="2" fillId="19" borderId="41" xfId="0" applyFont="1" applyFill="1" applyBorder="1" applyAlignment="1">
      <alignment horizontal="center" vertical="center" wrapText="1"/>
    </xf>
    <xf numFmtId="0" fontId="4" fillId="19" borderId="36" xfId="0" applyFont="1" applyFill="1" applyBorder="1" applyAlignment="1" applyProtection="1">
      <alignment horizontal="center" vertical="center" wrapText="1"/>
      <protection locked="0"/>
    </xf>
    <xf numFmtId="0" fontId="4" fillId="19" borderId="44" xfId="0" applyFont="1" applyFill="1" applyBorder="1" applyAlignment="1" applyProtection="1">
      <alignment horizontal="center" vertical="center" wrapText="1"/>
      <protection locked="0"/>
    </xf>
    <xf numFmtId="0" fontId="4" fillId="19" borderId="45" xfId="0" applyFont="1" applyFill="1" applyBorder="1" applyAlignment="1" applyProtection="1">
      <alignment horizontal="center" vertical="center" wrapText="1"/>
      <protection locked="0"/>
    </xf>
    <xf numFmtId="0" fontId="4" fillId="19" borderId="12" xfId="0" applyFont="1" applyFill="1" applyBorder="1" applyAlignment="1" applyProtection="1">
      <alignment horizontal="center" vertical="center" wrapText="1"/>
      <protection locked="0"/>
    </xf>
    <xf numFmtId="0" fontId="4" fillId="19" borderId="40" xfId="0" applyFont="1" applyFill="1" applyBorder="1" applyAlignment="1" applyProtection="1">
      <alignment horizontal="center" vertical="center" wrapText="1"/>
      <protection locked="0"/>
    </xf>
    <xf numFmtId="0" fontId="4" fillId="19" borderId="41" xfId="0" applyFont="1" applyFill="1" applyBorder="1" applyAlignment="1" applyProtection="1">
      <alignment horizontal="center" vertical="center" wrapText="1"/>
      <protection locked="0"/>
    </xf>
    <xf numFmtId="0" fontId="19" fillId="21" borderId="24" xfId="0" applyFont="1" applyFill="1" applyBorder="1" applyAlignment="1">
      <alignment horizontal="center" vertical="center" wrapText="1"/>
    </xf>
    <xf numFmtId="0" fontId="19" fillId="21" borderId="10" xfId="0" applyFont="1" applyFill="1" applyBorder="1" applyAlignment="1">
      <alignment horizontal="center" vertical="center" wrapText="1"/>
    </xf>
    <xf numFmtId="0" fontId="19" fillId="21" borderId="25" xfId="0" applyFont="1" applyFill="1" applyBorder="1" applyAlignment="1">
      <alignment horizontal="center" vertical="center" wrapText="1"/>
    </xf>
    <xf numFmtId="0" fontId="0" fillId="0" borderId="16"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0" fillId="0" borderId="18" xfId="0" applyBorder="1" applyAlignment="1">
      <alignment horizontal="center"/>
    </xf>
    <xf numFmtId="0" fontId="19" fillId="24" borderId="24" xfId="0" applyFont="1" applyFill="1" applyBorder="1" applyAlignment="1">
      <alignment horizontal="center" vertical="center"/>
    </xf>
    <xf numFmtId="0" fontId="19" fillId="24" borderId="25" xfId="0" applyFont="1" applyFill="1" applyBorder="1" applyAlignment="1">
      <alignment horizontal="center" vertical="center"/>
    </xf>
    <xf numFmtId="1" fontId="2" fillId="24" borderId="24" xfId="0" applyNumberFormat="1" applyFont="1" applyFill="1" applyBorder="1" applyAlignment="1">
      <alignment horizontal="center" vertical="center"/>
    </xf>
    <xf numFmtId="1" fontId="2" fillId="24" borderId="25" xfId="0" applyNumberFormat="1" applyFont="1" applyFill="1" applyBorder="1" applyAlignment="1">
      <alignment horizontal="center" vertical="center"/>
    </xf>
    <xf numFmtId="0" fontId="19" fillId="21" borderId="16" xfId="0" applyFont="1" applyFill="1" applyBorder="1" applyAlignment="1">
      <alignment horizontal="center" vertical="center" wrapText="1"/>
    </xf>
    <xf numFmtId="0" fontId="19" fillId="21" borderId="19" xfId="0" applyFont="1" applyFill="1" applyBorder="1" applyAlignment="1">
      <alignment horizontal="center" vertical="center" wrapText="1"/>
    </xf>
    <xf numFmtId="0" fontId="19" fillId="21" borderId="17" xfId="0" applyFont="1" applyFill="1" applyBorder="1" applyAlignment="1">
      <alignment horizontal="center" vertical="center" wrapText="1"/>
    </xf>
    <xf numFmtId="0" fontId="19" fillId="21" borderId="15" xfId="0" applyFont="1" applyFill="1" applyBorder="1" applyAlignment="1">
      <alignment horizontal="center" vertical="center" wrapText="1"/>
    </xf>
    <xf numFmtId="0" fontId="19" fillId="21" borderId="22" xfId="0" applyFont="1" applyFill="1" applyBorder="1" applyAlignment="1">
      <alignment horizontal="center" vertical="center" wrapText="1"/>
    </xf>
    <xf numFmtId="0" fontId="19" fillId="21" borderId="18" xfId="0" applyFont="1" applyFill="1" applyBorder="1" applyAlignment="1">
      <alignment horizontal="center" vertical="center" wrapText="1"/>
    </xf>
    <xf numFmtId="0" fontId="0" fillId="0" borderId="24" xfId="0" applyBorder="1" applyAlignment="1">
      <alignment horizontal="center"/>
    </xf>
    <xf numFmtId="0" fontId="0" fillId="0" borderId="25" xfId="0" applyBorder="1" applyAlignment="1">
      <alignment horizontal="center"/>
    </xf>
    <xf numFmtId="0" fontId="4" fillId="19" borderId="36" xfId="0" applyFont="1" applyFill="1" applyBorder="1" applyAlignment="1" applyProtection="1">
      <alignment horizontal="center" vertical="center"/>
      <protection locked="0"/>
    </xf>
    <xf numFmtId="0" fontId="4" fillId="19" borderId="44" xfId="0" applyFont="1" applyFill="1" applyBorder="1" applyAlignment="1" applyProtection="1">
      <alignment horizontal="center" vertical="center"/>
      <protection locked="0"/>
    </xf>
    <xf numFmtId="0" fontId="4" fillId="19" borderId="45" xfId="0" applyFont="1" applyFill="1" applyBorder="1" applyAlignment="1" applyProtection="1">
      <alignment horizontal="center" vertical="center"/>
      <protection locked="0"/>
    </xf>
    <xf numFmtId="0" fontId="2" fillId="19" borderId="12" xfId="0" applyFont="1" applyFill="1" applyBorder="1" applyAlignment="1">
      <alignment horizontal="center" vertical="center"/>
    </xf>
    <xf numFmtId="0" fontId="2" fillId="19" borderId="40" xfId="0" applyFont="1" applyFill="1" applyBorder="1" applyAlignment="1">
      <alignment horizontal="center" vertical="center"/>
    </xf>
    <xf numFmtId="0" fontId="2" fillId="19" borderId="41" xfId="0" applyFont="1" applyFill="1" applyBorder="1" applyAlignment="1">
      <alignment horizontal="center" vertical="center"/>
    </xf>
    <xf numFmtId="0" fontId="2" fillId="24" borderId="13" xfId="0" applyFont="1" applyFill="1" applyBorder="1" applyAlignment="1">
      <alignment horizontal="center" vertical="center" wrapText="1"/>
    </xf>
    <xf numFmtId="0" fontId="2" fillId="24" borderId="42" xfId="0" applyFont="1" applyFill="1" applyBorder="1" applyAlignment="1">
      <alignment horizontal="center" vertical="center" wrapText="1"/>
    </xf>
    <xf numFmtId="0" fontId="2" fillId="24" borderId="43" xfId="0" applyFont="1" applyFill="1" applyBorder="1" applyAlignment="1">
      <alignment horizontal="center" vertical="center" wrapText="1"/>
    </xf>
    <xf numFmtId="0" fontId="4" fillId="24" borderId="13" xfId="0" applyFont="1" applyFill="1" applyBorder="1" applyAlignment="1">
      <alignment horizontal="center" vertical="center"/>
    </xf>
    <xf numFmtId="0" fontId="4" fillId="24" borderId="42" xfId="0" applyFont="1" applyFill="1" applyBorder="1" applyAlignment="1">
      <alignment horizontal="center" vertical="center"/>
    </xf>
    <xf numFmtId="0" fontId="4" fillId="24" borderId="43" xfId="0" applyFont="1" applyFill="1" applyBorder="1" applyAlignment="1">
      <alignment horizontal="center" vertical="center"/>
    </xf>
    <xf numFmtId="0" fontId="11" fillId="14" borderId="24" xfId="0" applyFont="1" applyFill="1" applyBorder="1" applyAlignment="1">
      <alignment horizontal="center" vertical="center" wrapText="1"/>
    </xf>
    <xf numFmtId="0" fontId="11" fillId="0" borderId="10" xfId="0" applyFont="1" applyBorder="1" applyAlignment="1">
      <alignment horizontal="center" vertical="center" wrapText="1"/>
    </xf>
    <xf numFmtId="0" fontId="11" fillId="0" borderId="25" xfId="0" applyFont="1" applyBorder="1" applyAlignment="1">
      <alignment horizontal="center" vertical="center" wrapText="1"/>
    </xf>
    <xf numFmtId="0" fontId="17" fillId="16" borderId="16" xfId="0" applyNumberFormat="1" applyFont="1" applyFill="1" applyBorder="1" applyAlignment="1">
      <alignment horizontal="center" vertical="center" wrapText="1"/>
    </xf>
    <xf numFmtId="0" fontId="18" fillId="16" borderId="19" xfId="0" applyFont="1" applyFill="1" applyBorder="1" applyAlignment="1">
      <alignment wrapText="1"/>
    </xf>
    <xf numFmtId="0" fontId="18" fillId="16" borderId="17" xfId="0" applyFont="1" applyFill="1" applyBorder="1" applyAlignment="1">
      <alignment wrapText="1"/>
    </xf>
    <xf numFmtId="0" fontId="18" fillId="16" borderId="20" xfId="0" applyFont="1" applyFill="1" applyBorder="1" applyAlignment="1">
      <alignment wrapText="1"/>
    </xf>
    <xf numFmtId="0" fontId="18" fillId="16" borderId="0" xfId="0" applyFont="1" applyFill="1" applyBorder="1" applyAlignment="1">
      <alignment wrapText="1"/>
    </xf>
    <xf numFmtId="0" fontId="18" fillId="16" borderId="21" xfId="0" applyFont="1" applyFill="1" applyBorder="1" applyAlignment="1">
      <alignment wrapText="1"/>
    </xf>
    <xf numFmtId="0" fontId="18" fillId="16" borderId="0" xfId="0" applyFont="1" applyFill="1" applyAlignment="1">
      <alignment wrapText="1"/>
    </xf>
    <xf numFmtId="0" fontId="18" fillId="16" borderId="15" xfId="0" applyFont="1" applyFill="1" applyBorder="1" applyAlignment="1">
      <alignment wrapText="1"/>
    </xf>
    <xf numFmtId="0" fontId="18" fillId="16" borderId="22" xfId="0" applyFont="1" applyFill="1" applyBorder="1" applyAlignment="1">
      <alignment wrapText="1"/>
    </xf>
    <xf numFmtId="0" fontId="18" fillId="16" borderId="18" xfId="0" applyFont="1" applyFill="1" applyBorder="1" applyAlignment="1">
      <alignment wrapText="1"/>
    </xf>
    <xf numFmtId="0" fontId="2" fillId="17" borderId="2" xfId="0" applyFont="1" applyFill="1" applyBorder="1" applyAlignment="1">
      <alignment horizontal="center" vertical="center" wrapText="1"/>
    </xf>
    <xf numFmtId="0" fontId="2" fillId="17" borderId="23"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0" fillId="0" borderId="3" xfId="0" applyBorder="1" applyAlignment="1">
      <alignment horizontal="center" vertical="center" wrapText="1"/>
    </xf>
    <xf numFmtId="0" fontId="4" fillId="7" borderId="9" xfId="0" applyNumberFormat="1" applyFont="1" applyFill="1" applyBorder="1" applyAlignment="1">
      <alignment horizontal="center" vertical="center" wrapText="1"/>
    </xf>
    <xf numFmtId="0" fontId="4" fillId="7" borderId="9"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7" fillId="11" borderId="16" xfId="0" applyFont="1" applyFill="1" applyBorder="1" applyAlignment="1">
      <alignment horizontal="right" vertical="center" wrapText="1"/>
    </xf>
    <xf numFmtId="0" fontId="10" fillId="11" borderId="15" xfId="0" applyFont="1" applyFill="1" applyBorder="1" applyAlignment="1">
      <alignment horizontal="right" vertical="center" wrapText="1"/>
    </xf>
    <xf numFmtId="0" fontId="2" fillId="11" borderId="17" xfId="0" applyFont="1" applyFill="1" applyBorder="1" applyAlignment="1">
      <alignment horizontal="center" vertical="center" wrapText="1"/>
    </xf>
    <xf numFmtId="0" fontId="4" fillId="11" borderId="18" xfId="0" applyFont="1" applyFill="1" applyBorder="1" applyAlignment="1">
      <alignment horizontal="center" vertical="center" wrapText="1"/>
    </xf>
    <xf numFmtId="0" fontId="2" fillId="12" borderId="17" xfId="0" applyFont="1" applyFill="1" applyBorder="1" applyAlignment="1">
      <alignment horizontal="center" vertical="center" wrapText="1"/>
    </xf>
    <xf numFmtId="0" fontId="4" fillId="12" borderId="18" xfId="0" applyFont="1" applyFill="1" applyBorder="1" applyAlignment="1">
      <alignment horizontal="center" vertical="center" wrapText="1"/>
    </xf>
    <xf numFmtId="0" fontId="2" fillId="12" borderId="16" xfId="0" applyFont="1" applyFill="1" applyBorder="1" applyAlignment="1">
      <alignment horizontal="right" vertical="center" wrapText="1"/>
    </xf>
    <xf numFmtId="0" fontId="4" fillId="12" borderId="15" xfId="0" applyFont="1" applyFill="1" applyBorder="1" applyAlignment="1">
      <alignment horizontal="right" vertical="center" wrapText="1"/>
    </xf>
    <xf numFmtId="0" fontId="5" fillId="13" borderId="16" xfId="0" applyFont="1" applyFill="1" applyBorder="1" applyAlignment="1">
      <alignment horizontal="right" vertical="center" wrapText="1"/>
    </xf>
    <xf numFmtId="0" fontId="8" fillId="13" borderId="15" xfId="0" applyFont="1" applyFill="1" applyBorder="1" applyAlignment="1">
      <alignment horizontal="right" vertical="center" wrapText="1"/>
    </xf>
    <xf numFmtId="0" fontId="2" fillId="13" borderId="17" xfId="0" applyFont="1" applyFill="1" applyBorder="1" applyAlignment="1">
      <alignment horizontal="center" vertical="center" wrapText="1"/>
    </xf>
    <xf numFmtId="0" fontId="4" fillId="13" borderId="18" xfId="0" applyFont="1" applyFill="1" applyBorder="1" applyAlignment="1">
      <alignment horizontal="center" vertical="center" wrapText="1"/>
    </xf>
    <xf numFmtId="0" fontId="6" fillId="9" borderId="16" xfId="0" applyFont="1" applyFill="1" applyBorder="1" applyAlignment="1">
      <alignment horizontal="right" vertical="center" wrapText="1"/>
    </xf>
    <xf numFmtId="0" fontId="9" fillId="9" borderId="15" xfId="0" applyFont="1" applyFill="1" applyBorder="1" applyAlignment="1">
      <alignment horizontal="right" vertical="center" wrapText="1"/>
    </xf>
    <xf numFmtId="0" fontId="2" fillId="9" borderId="17" xfId="0" applyFont="1" applyFill="1" applyBorder="1" applyAlignment="1">
      <alignment horizontal="center" vertical="center" wrapText="1"/>
    </xf>
    <xf numFmtId="0" fontId="4" fillId="9" borderId="18" xfId="0" applyFont="1" applyFill="1" applyBorder="1" applyAlignment="1">
      <alignment horizontal="center" vertical="center" wrapText="1"/>
    </xf>
    <xf numFmtId="20" fontId="2" fillId="6" borderId="9" xfId="0" applyNumberFormat="1" applyFont="1" applyFill="1" applyBorder="1" applyAlignment="1">
      <alignment horizontal="center" vertical="center" wrapText="1"/>
    </xf>
    <xf numFmtId="0" fontId="2" fillId="6" borderId="9" xfId="0" applyFont="1" applyFill="1" applyBorder="1" applyAlignment="1">
      <alignment horizontal="center" vertical="center" wrapText="1"/>
    </xf>
    <xf numFmtId="0" fontId="21" fillId="7" borderId="16" xfId="0" applyNumberFormat="1" applyFont="1" applyFill="1" applyBorder="1" applyAlignment="1">
      <alignment horizontal="center" vertical="center" wrapText="1"/>
    </xf>
    <xf numFmtId="0" fontId="4" fillId="7" borderId="19" xfId="0" applyNumberFormat="1" applyFont="1" applyFill="1" applyBorder="1" applyAlignment="1">
      <alignment horizontal="center" vertical="center" wrapText="1"/>
    </xf>
    <xf numFmtId="0" fontId="4" fillId="7" borderId="17" xfId="0" applyNumberFormat="1" applyFont="1" applyFill="1" applyBorder="1" applyAlignment="1">
      <alignment horizontal="center" vertical="center" wrapText="1"/>
    </xf>
    <xf numFmtId="0" fontId="4" fillId="7" borderId="15" xfId="0" applyNumberFormat="1" applyFont="1" applyFill="1" applyBorder="1" applyAlignment="1">
      <alignment horizontal="center" vertical="center" wrapText="1"/>
    </xf>
    <xf numFmtId="0" fontId="4" fillId="7" borderId="22" xfId="0" applyNumberFormat="1" applyFont="1" applyFill="1" applyBorder="1" applyAlignment="1">
      <alignment horizontal="center" vertical="center" wrapText="1"/>
    </xf>
    <xf numFmtId="0" fontId="4" fillId="7" borderId="18" xfId="0" applyNumberFormat="1" applyFont="1" applyFill="1" applyBorder="1" applyAlignment="1">
      <alignment horizontal="center" vertical="center" wrapText="1"/>
    </xf>
    <xf numFmtId="20" fontId="2" fillId="6" borderId="2" xfId="0" applyNumberFormat="1" applyFont="1" applyFill="1" applyBorder="1" applyAlignment="1">
      <alignment horizontal="center" vertical="center" wrapText="1"/>
    </xf>
    <xf numFmtId="20" fontId="2" fillId="6" borderId="3" xfId="0" applyNumberFormat="1" applyFont="1" applyFill="1" applyBorder="1" applyAlignment="1">
      <alignment horizontal="center" vertical="center" wrapText="1"/>
    </xf>
    <xf numFmtId="0" fontId="4" fillId="7" borderId="16"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MX" sz="1200" b="1" i="0" u="none" strike="noStrike" baseline="0">
                <a:solidFill>
                  <a:srgbClr val="000000"/>
                </a:solidFill>
                <a:latin typeface="Calibri"/>
                <a:ea typeface="Calibri"/>
                <a:cs typeface="Calibri"/>
              </a:defRPr>
            </a:pPr>
            <a:r>
              <a:rPr lang="es-MX"/>
              <a:t>Distribución Macro nutrientes -  Kcal</a:t>
            </a:r>
          </a:p>
        </c:rich>
      </c:tx>
      <c:layout>
        <c:manualLayout>
          <c:xMode val="edge"/>
          <c:yMode val="edge"/>
          <c:x val="0.18182939956128799"/>
          <c:y val="3.076917252559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8.2696250659668402E-2"/>
          <c:y val="0.20231592213292501"/>
          <c:w val="0.608557730762743"/>
          <c:h val="0.72705425776160004"/>
        </c:manualLayout>
      </c:layout>
      <c:pie3DChart>
        <c:varyColors val="1"/>
        <c:ser>
          <c:idx val="0"/>
          <c:order val="0"/>
          <c:dLbls>
            <c:spPr>
              <a:noFill/>
              <a:ln>
                <a:noFill/>
              </a:ln>
              <a:effectLst/>
            </c:spPr>
            <c:txPr>
              <a:bodyPr/>
              <a:lstStyle/>
              <a:p>
                <a:pPr>
                  <a:defRPr lang="es-MX" sz="1000" b="0" i="0" u="none" strike="noStrike" baseline="0">
                    <a:solidFill>
                      <a:srgbClr val="000000"/>
                    </a:solidFill>
                    <a:latin typeface="Calibri"/>
                    <a:ea typeface="Calibri"/>
                    <a:cs typeface="Calibri"/>
                  </a:defRPr>
                </a:pPr>
                <a:endParaRPr lang="es-ES"/>
              </a:p>
            </c:txPr>
            <c:showLegendKey val="0"/>
            <c:showVal val="0"/>
            <c:showCatName val="0"/>
            <c:showSerName val="0"/>
            <c:showPercent val="1"/>
            <c:showBubbleSize val="0"/>
            <c:showLeaderLines val="1"/>
            <c:extLst>
              <c:ext xmlns:c15="http://schemas.microsoft.com/office/drawing/2012/chart" uri="{CE6537A1-D6FC-4f65-9D91-7224C49458BB}"/>
            </c:extLst>
          </c:dLbls>
          <c:cat>
            <c:strRef>
              <c:f>Resultados!$A$12:$A$14</c:f>
              <c:strCache>
                <c:ptCount val="3"/>
                <c:pt idx="0">
                  <c:v>% Kcal Proteínas</c:v>
                </c:pt>
                <c:pt idx="1">
                  <c:v>% Kcal Grasa</c:v>
                </c:pt>
                <c:pt idx="2">
                  <c:v>% Kcal Glúcidos</c:v>
                </c:pt>
              </c:strCache>
            </c:strRef>
          </c:cat>
          <c:val>
            <c:numRef>
              <c:f>Resultados!$B$12:$B$14</c:f>
              <c:numCache>
                <c:formatCode>General</c:formatCode>
                <c:ptCount val="3"/>
                <c:pt idx="0">
                  <c:v>33.627465895836501</c:v>
                </c:pt>
                <c:pt idx="1">
                  <c:v>21.515289821999083</c:v>
                </c:pt>
                <c:pt idx="2">
                  <c:v>44.857244282164409</c:v>
                </c:pt>
              </c:numCache>
            </c:numRef>
          </c:val>
          <c:extLst>
            <c:ext xmlns:c16="http://schemas.microsoft.com/office/drawing/2014/chart" uri="{C3380CC4-5D6E-409C-BE32-E72D297353CC}">
              <c16:uniqueId val="{00000000-B191-AD4A-B3E3-A3B4B5B68BBA}"/>
            </c:ext>
          </c:extLst>
        </c:ser>
        <c:dLbls>
          <c:showLegendKey val="0"/>
          <c:showVal val="0"/>
          <c:showCatName val="0"/>
          <c:showSerName val="0"/>
          <c:showPercent val="1"/>
          <c:showBubbleSize val="0"/>
          <c:showLeaderLines val="1"/>
        </c:dLbls>
      </c:pie3DChart>
      <c:spPr>
        <a:noFill/>
        <a:ln w="25400">
          <a:noFill/>
        </a:ln>
      </c:spPr>
    </c:plotArea>
    <c:legend>
      <c:legendPos val="r"/>
      <c:layout>
        <c:manualLayout>
          <c:xMode val="edge"/>
          <c:yMode val="edge"/>
          <c:x val="0.65179621778048003"/>
          <c:y val="0.30401231322157302"/>
          <c:w val="0.32164549668210202"/>
          <c:h val="0.39572797842242002"/>
        </c:manualLayout>
      </c:layout>
      <c:overlay val="0"/>
      <c:txPr>
        <a:bodyPr/>
        <a:lstStyle/>
        <a:p>
          <a:pPr>
            <a:defRPr lang="es-MX" sz="920" b="0" i="0" u="none" strike="noStrike" baseline="0">
              <a:solidFill>
                <a:srgbClr val="000000"/>
              </a:solidFill>
              <a:latin typeface="Calibri"/>
              <a:ea typeface="Calibri"/>
              <a:cs typeface="Calibri"/>
            </a:defRPr>
          </a:pPr>
          <a:endParaRPr lang="es-ES"/>
        </a:p>
      </c:txPr>
    </c:legend>
    <c:plotVisOnly val="1"/>
    <c:dispBlanksAs val="zero"/>
    <c:showDLblsOverMax val="0"/>
  </c:chart>
  <c:spPr>
    <a:ln>
      <a:noFill/>
    </a:ln>
  </c:spPr>
  <c:txPr>
    <a:bodyPr/>
    <a:lstStyle/>
    <a:p>
      <a:pPr>
        <a:defRPr sz="1000" b="0" i="0" u="none" strike="noStrike" baseline="0">
          <a:solidFill>
            <a:srgbClr val="000000"/>
          </a:solidFill>
          <a:latin typeface="Calibri"/>
          <a:ea typeface="Calibri"/>
          <a:cs typeface="Calibri"/>
        </a:defRPr>
      </a:pPr>
      <a:endParaRPr lang="es-ES"/>
    </a:p>
  </c:txPr>
  <c:printSettings>
    <c:headerFooter/>
    <c:pageMargins b="0.74803149606299701" l="0.70866141732284105" r="0.70866141732284105" t="0.74803149606299701" header="0.314960629921265" footer="0.314960629921265"/>
    <c:pageSetup orientation="landscape"/>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47625</xdr:colOff>
      <xdr:row>1</xdr:row>
      <xdr:rowOff>28575</xdr:rowOff>
    </xdr:from>
    <xdr:to>
      <xdr:col>2</xdr:col>
      <xdr:colOff>1847850</xdr:colOff>
      <xdr:row>9</xdr:row>
      <xdr:rowOff>600075</xdr:rowOff>
    </xdr:to>
    <xdr:sp macro="" textlink="">
      <xdr:nvSpPr>
        <xdr:cNvPr id="2" name="CuadroTexto 1">
          <a:extLst>
            <a:ext uri="{FF2B5EF4-FFF2-40B4-BE49-F238E27FC236}">
              <a16:creationId xmlns:a16="http://schemas.microsoft.com/office/drawing/2014/main" id="{00000000-0008-0000-0000-000002000000}"/>
            </a:ext>
          </a:extLst>
        </xdr:cNvPr>
        <xdr:cNvSpPr txBox="1"/>
      </xdr:nvSpPr>
      <xdr:spPr>
        <a:xfrm>
          <a:off x="3314700" y="657225"/>
          <a:ext cx="1800225" cy="2981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s-ES" sz="1100"/>
            <a:t>· Estos</a:t>
          </a:r>
          <a:r>
            <a:rPr lang="es-ES" sz="1100" baseline="0"/>
            <a:t> calculos son meramente </a:t>
          </a:r>
          <a:r>
            <a:rPr lang="es-ES" sz="1100" b="1" u="sng" baseline="0"/>
            <a:t>orientativos</a:t>
          </a:r>
        </a:p>
        <a:p>
          <a:pPr algn="l"/>
          <a:endParaRPr lang="es-ES" sz="1100" baseline="0"/>
        </a:p>
        <a:p>
          <a:pPr algn="l"/>
          <a:r>
            <a:rPr lang="es-ES" sz="1100"/>
            <a:t>· Individuos</a:t>
          </a:r>
          <a:r>
            <a:rPr lang="es-ES" sz="1100" baseline="0"/>
            <a:t> con las mismas características (peso, edad, actividad, objetivo) pueden tener gastos energéticos diferentes</a:t>
          </a:r>
        </a:p>
        <a:p>
          <a:pPr algn="l"/>
          <a:endParaRPr lang="es-ES" sz="1100" baseline="0"/>
        </a:p>
        <a:p>
          <a:pPr algn="l"/>
          <a:r>
            <a:rPr lang="es-ES" sz="1100" baseline="0"/>
            <a:t>· La forma correcta de saber si la energía propuesta se ajusta al individuo es tras realizar un control periodico de resultados (peso, perimetros, pliegues corporales, rendimiento)</a:t>
          </a:r>
        </a:p>
        <a:p>
          <a:pPr algn="l"/>
          <a:endParaRPr lang="es-ES" sz="1100" baseline="0"/>
        </a:p>
        <a:p>
          <a:pPr algn="l"/>
          <a:r>
            <a:rPr lang="es-ES" sz="1100" baseline="0"/>
            <a:t>· En base a resultados obtenidos tras control reajustar la energía en dieta</a:t>
          </a:r>
        </a:p>
      </xdr:txBody>
    </xdr:sp>
    <xdr:clientData/>
  </xdr:twoCellAnchor>
  <xdr:twoCellAnchor>
    <xdr:from>
      <xdr:col>10</xdr:col>
      <xdr:colOff>38100</xdr:colOff>
      <xdr:row>1</xdr:row>
      <xdr:rowOff>19050</xdr:rowOff>
    </xdr:from>
    <xdr:to>
      <xdr:col>11</xdr:col>
      <xdr:colOff>704850</xdr:colOff>
      <xdr:row>2</xdr:row>
      <xdr:rowOff>285750</xdr:rowOff>
    </xdr:to>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11115675" y="647700"/>
          <a:ext cx="1428750"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0" rtlCol="0" anchor="t"/>
        <a:lstStyle/>
        <a:p>
          <a:r>
            <a:rPr lang="es-ES" sz="1100"/>
            <a:t>· Individuos con</a:t>
          </a:r>
          <a:r>
            <a:rPr lang="es-ES" sz="1100" baseline="0"/>
            <a:t> obesidad</a:t>
          </a:r>
          <a:r>
            <a:rPr lang="es-ES" sz="1100"/>
            <a:t> pueden bajar</a:t>
          </a:r>
          <a:r>
            <a:rPr lang="es-ES" sz="1100" baseline="0"/>
            <a:t> más rapido</a:t>
          </a:r>
          <a:endParaRPr lang="es-ES" sz="1100"/>
        </a:p>
      </xdr:txBody>
    </xdr:sp>
    <xdr:clientData/>
  </xdr:twoCellAnchor>
  <xdr:twoCellAnchor>
    <xdr:from>
      <xdr:col>10</xdr:col>
      <xdr:colOff>38100</xdr:colOff>
      <xdr:row>7</xdr:row>
      <xdr:rowOff>19050</xdr:rowOff>
    </xdr:from>
    <xdr:to>
      <xdr:col>11</xdr:col>
      <xdr:colOff>704850</xdr:colOff>
      <xdr:row>7</xdr:row>
      <xdr:rowOff>600075</xdr:rowOff>
    </xdr:to>
    <xdr:sp macro="" textlink="">
      <xdr:nvSpPr>
        <xdr:cNvPr id="5" name="CuadroTexto 4">
          <a:extLst>
            <a:ext uri="{FF2B5EF4-FFF2-40B4-BE49-F238E27FC236}">
              <a16:creationId xmlns:a16="http://schemas.microsoft.com/office/drawing/2014/main" id="{00000000-0008-0000-0000-000005000000}"/>
            </a:ext>
          </a:extLst>
        </xdr:cNvPr>
        <xdr:cNvSpPr txBox="1"/>
      </xdr:nvSpPr>
      <xdr:spPr>
        <a:xfrm>
          <a:off x="11115675" y="2409825"/>
          <a:ext cx="1428750"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0" rtlCol="0" anchor="t"/>
        <a:lstStyle/>
        <a:p>
          <a:r>
            <a:rPr lang="es-ES" sz="1100"/>
            <a:t>· Mujeres pueden</a:t>
          </a:r>
          <a:r>
            <a:rPr lang="es-ES" sz="1100" baseline="0"/>
            <a:t> tardar el doble de tiempo en lograrlo</a:t>
          </a: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319088</xdr:colOff>
      <xdr:row>10</xdr:row>
      <xdr:rowOff>38100</xdr:rowOff>
    </xdr:from>
    <xdr:to>
      <xdr:col>10</xdr:col>
      <xdr:colOff>38100</xdr:colOff>
      <xdr:row>16</xdr:row>
      <xdr:rowOff>345282</xdr:rowOff>
    </xdr:to>
    <xdr:graphicFrame macro="">
      <xdr:nvGraphicFramePr>
        <xdr:cNvPr id="2070" name="2 Gráfico">
          <a:extLst>
            <a:ext uri="{FF2B5EF4-FFF2-40B4-BE49-F238E27FC236}">
              <a16:creationId xmlns:a16="http://schemas.microsoft.com/office/drawing/2014/main" id="{00000000-0008-0000-0100-000016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254000</xdr:colOff>
      <xdr:row>0</xdr:row>
      <xdr:rowOff>127000</xdr:rowOff>
    </xdr:from>
    <xdr:to>
      <xdr:col>19</xdr:col>
      <xdr:colOff>598714</xdr:colOff>
      <xdr:row>17</xdr:row>
      <xdr:rowOff>28575</xdr:rowOff>
    </xdr:to>
    <xdr:sp macro="" textlink="">
      <xdr:nvSpPr>
        <xdr:cNvPr id="3" name="2 CuadroTexto">
          <a:extLst>
            <a:ext uri="{FF2B5EF4-FFF2-40B4-BE49-F238E27FC236}">
              <a16:creationId xmlns:a16="http://schemas.microsoft.com/office/drawing/2014/main" id="{00000000-0008-0000-0100-000003000000}"/>
            </a:ext>
          </a:extLst>
        </xdr:cNvPr>
        <xdr:cNvSpPr txBox="1"/>
      </xdr:nvSpPr>
      <xdr:spPr>
        <a:xfrm>
          <a:off x="10799536" y="127000"/>
          <a:ext cx="7216321" cy="406536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tIns="72000" bIns="72000" rtlCol="0" anchor="t"/>
        <a:lstStyle/>
        <a:p>
          <a:pPr algn="ctr"/>
          <a:r>
            <a:rPr lang="es-MX" sz="1600" b="1">
              <a:solidFill>
                <a:schemeClr val="accent1"/>
              </a:solidFill>
            </a:rPr>
            <a:t>Consejos Nutricionales y Anotaciones</a:t>
          </a:r>
        </a:p>
        <a:p>
          <a:endParaRPr lang="es-MX" sz="1200"/>
        </a:p>
        <a:p>
          <a:endParaRPr lang="es-MX" sz="1200" baseline="0"/>
        </a:p>
        <a:p>
          <a:endParaRPr lang="es-MX" sz="1200" baseline="0"/>
        </a:p>
        <a:p>
          <a:endParaRPr lang="es-MX" sz="1200" baseline="0"/>
        </a:p>
      </xdr:txBody>
    </xdr:sp>
    <xdr:clientData/>
  </xdr:twoCellAnchor>
  <xdr:twoCellAnchor>
    <xdr:from>
      <xdr:col>10</xdr:col>
      <xdr:colOff>254000</xdr:colOff>
      <xdr:row>17</xdr:row>
      <xdr:rowOff>139700</xdr:rowOff>
    </xdr:from>
    <xdr:to>
      <xdr:col>19</xdr:col>
      <xdr:colOff>612321</xdr:colOff>
      <xdr:row>37</xdr:row>
      <xdr:rowOff>127000</xdr:rowOff>
    </xdr:to>
    <xdr:sp macro="" textlink="">
      <xdr:nvSpPr>
        <xdr:cNvPr id="4" name="3 CuadroTexto">
          <a:extLst>
            <a:ext uri="{FF2B5EF4-FFF2-40B4-BE49-F238E27FC236}">
              <a16:creationId xmlns:a16="http://schemas.microsoft.com/office/drawing/2014/main" id="{00000000-0008-0000-0100-000004000000}"/>
            </a:ext>
          </a:extLst>
        </xdr:cNvPr>
        <xdr:cNvSpPr txBox="1"/>
      </xdr:nvSpPr>
      <xdr:spPr>
        <a:xfrm>
          <a:off x="10799536" y="4303486"/>
          <a:ext cx="7229928" cy="5253264"/>
        </a:xfrm>
        <a:prstGeom prst="rect">
          <a:avLst/>
        </a:prstGeom>
        <a:solidFill>
          <a:schemeClr val="accent4">
            <a:lumMod val="20000"/>
            <a:lumOff val="80000"/>
          </a:schemeClr>
        </a:solidFill>
        <a:ln/>
      </xdr:spPr>
      <xdr:style>
        <a:lnRef idx="1">
          <a:schemeClr val="dk1"/>
        </a:lnRef>
        <a:fillRef idx="2">
          <a:schemeClr val="dk1"/>
        </a:fillRef>
        <a:effectRef idx="1">
          <a:schemeClr val="dk1"/>
        </a:effectRef>
        <a:fontRef idx="minor">
          <a:schemeClr val="dk1"/>
        </a:fontRef>
      </xdr:style>
      <xdr:txBody>
        <a:bodyPr wrap="square" tIns="72000" bIns="72000" rtlCol="0" anchor="t"/>
        <a:lstStyle/>
        <a:p>
          <a:pPr algn="ctr"/>
          <a:r>
            <a:rPr lang="es-MX" sz="1600" b="1">
              <a:solidFill>
                <a:schemeClr val="accent1"/>
              </a:solidFill>
            </a:rPr>
            <a:t>Tabla de Equivalencias y Medidas</a:t>
          </a:r>
          <a:r>
            <a:rPr lang="es-MX" sz="1600" b="1" baseline="0">
              <a:solidFill>
                <a:schemeClr val="accent1"/>
              </a:solidFill>
            </a:rPr>
            <a:t> Alimentarias</a:t>
          </a:r>
          <a:endParaRPr lang="es-MX" sz="1400" b="1" baseline="0">
            <a:solidFill>
              <a:schemeClr val="dk1"/>
            </a:solidFill>
            <a:latin typeface="+mn-lt"/>
            <a:ea typeface="+mn-ea"/>
            <a:cs typeface="+mn-cs"/>
          </a:endParaRPr>
        </a:p>
      </xdr:txBody>
    </xdr:sp>
    <xdr:clientData/>
  </xdr:twoCellAnchor>
  <xdr:twoCellAnchor>
    <xdr:from>
      <xdr:col>0</xdr:col>
      <xdr:colOff>88900</xdr:colOff>
      <xdr:row>38</xdr:row>
      <xdr:rowOff>63500</xdr:rowOff>
    </xdr:from>
    <xdr:to>
      <xdr:col>19</xdr:col>
      <xdr:colOff>625929</xdr:colOff>
      <xdr:row>54</xdr:row>
      <xdr:rowOff>130968</xdr:rowOff>
    </xdr:to>
    <xdr:sp macro="" textlink="">
      <xdr:nvSpPr>
        <xdr:cNvPr id="5" name="4 CuadroTexto">
          <a:extLst>
            <a:ext uri="{FF2B5EF4-FFF2-40B4-BE49-F238E27FC236}">
              <a16:creationId xmlns:a16="http://schemas.microsoft.com/office/drawing/2014/main" id="{00000000-0008-0000-0100-000005000000}"/>
            </a:ext>
          </a:extLst>
        </xdr:cNvPr>
        <xdr:cNvSpPr txBox="1"/>
      </xdr:nvSpPr>
      <xdr:spPr>
        <a:xfrm>
          <a:off x="88900" y="9656536"/>
          <a:ext cx="17954172" cy="2680039"/>
        </a:xfrm>
        <a:prstGeom prst="rect">
          <a:avLst/>
        </a:prstGeom>
        <a:solidFill>
          <a:schemeClr val="bg2">
            <a:lumMod val="9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MX" sz="1800" b="1">
              <a:solidFill>
                <a:schemeClr val="tx2"/>
              </a:solidFill>
            </a:rPr>
            <a:t>Suplementación Deportiva</a:t>
          </a:r>
        </a:p>
        <a:p>
          <a:pPr algn="l"/>
          <a:r>
            <a:rPr lang="es-MX" sz="1400">
              <a:solidFill>
                <a:schemeClr val="tx2"/>
              </a:solidFill>
            </a:rPr>
            <a:t>1 Multivitaminico con comida 1 y comida 5</a:t>
          </a:r>
        </a:p>
        <a:p>
          <a:pPr algn="l"/>
          <a:r>
            <a:rPr lang="es-MX" sz="1400">
              <a:solidFill>
                <a:schemeClr val="tx2"/>
              </a:solidFill>
            </a:rPr>
            <a:t>omega 3 - con comida 1,</a:t>
          </a:r>
          <a:r>
            <a:rPr lang="es-MX" sz="1400" baseline="0">
              <a:solidFill>
                <a:schemeClr val="tx2"/>
              </a:solidFill>
            </a:rPr>
            <a:t> 3 y 5</a:t>
          </a:r>
          <a:endParaRPr lang="es-MX" sz="1400">
            <a:solidFill>
              <a:schemeClr val="tx2"/>
            </a:solidFill>
          </a:endParaRPr>
        </a:p>
        <a:p>
          <a:pPr algn="l"/>
          <a:endParaRPr lang="es-MX" sz="1400">
            <a:solidFill>
              <a:schemeClr val="tx2"/>
            </a:solidFill>
          </a:endParaRPr>
        </a:p>
        <a:p>
          <a:pPr algn="l"/>
          <a:r>
            <a:rPr lang="es-MX" sz="1400">
              <a:solidFill>
                <a:schemeClr val="tx2"/>
              </a:solidFill>
            </a:rPr>
            <a:t>Intra entrenamiento </a:t>
          </a:r>
          <a:r>
            <a:rPr lang="es-MX" sz="1400" baseline="0">
              <a:solidFill>
                <a:schemeClr val="tx2"/>
              </a:solidFill>
            </a:rPr>
            <a:t>o 10gEEAS + 10gGLUTAMINA +10g CREATINA</a:t>
          </a:r>
        </a:p>
        <a:p>
          <a:pPr algn="l"/>
          <a:endParaRPr lang="es-MX" sz="1400" baseline="0">
            <a:solidFill>
              <a:schemeClr val="tx2"/>
            </a:solidFill>
          </a:endParaRPr>
        </a:p>
        <a:p>
          <a:pPr algn="l"/>
          <a:r>
            <a:rPr lang="es-MX" sz="1400" baseline="0">
              <a:solidFill>
                <a:schemeClr val="tx2"/>
              </a:solidFill>
            </a:rPr>
            <a:t>Antes de dormir: ZMA 3 capsulas </a:t>
          </a:r>
          <a:endParaRPr lang="es-MX" sz="1400">
            <a:solidFill>
              <a:schemeClr val="tx2"/>
            </a:solidFill>
          </a:endParaRPr>
        </a:p>
        <a:p>
          <a:pPr algn="l"/>
          <a:endParaRPr lang="es-MX" sz="1400">
            <a:solidFill>
              <a:schemeClr val="tx2"/>
            </a:solidFill>
          </a:endParaRPr>
        </a:p>
      </xdr:txBody>
    </xdr:sp>
    <xdr:clientData/>
  </xdr:twoCellAnchor>
  <xdr:twoCellAnchor>
    <xdr:from>
      <xdr:col>2</xdr:col>
      <xdr:colOff>184148</xdr:colOff>
      <xdr:row>17</xdr:row>
      <xdr:rowOff>207168</xdr:rowOff>
    </xdr:from>
    <xdr:to>
      <xdr:col>3</xdr:col>
      <xdr:colOff>793748</xdr:colOff>
      <xdr:row>17</xdr:row>
      <xdr:rowOff>488156</xdr:rowOff>
    </xdr:to>
    <xdr:sp macro="" textlink="">
      <xdr:nvSpPr>
        <xdr:cNvPr id="6" name="5 CuadroTexto">
          <a:extLst>
            <a:ext uri="{FF2B5EF4-FFF2-40B4-BE49-F238E27FC236}">
              <a16:creationId xmlns:a16="http://schemas.microsoft.com/office/drawing/2014/main" id="{00000000-0008-0000-0100-000006000000}"/>
            </a:ext>
          </a:extLst>
        </xdr:cNvPr>
        <xdr:cNvSpPr txBox="1"/>
      </xdr:nvSpPr>
      <xdr:spPr>
        <a:xfrm>
          <a:off x="2148679" y="4291012"/>
          <a:ext cx="1526382" cy="280988"/>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wrap="square" rtlCol="0" anchor="ctr"/>
        <a:lstStyle/>
        <a:p>
          <a:pPr algn="ctr"/>
          <a:r>
            <a:rPr lang="es-ES" sz="1400" b="1"/>
            <a:t>ENTRENO</a:t>
          </a:r>
        </a:p>
      </xdr:txBody>
    </xdr:sp>
    <xdr:clientData/>
  </xdr:twoCellAnchor>
  <xdr:twoCellAnchor>
    <xdr:from>
      <xdr:col>4</xdr:col>
      <xdr:colOff>35717</xdr:colOff>
      <xdr:row>17</xdr:row>
      <xdr:rowOff>202404</xdr:rowOff>
    </xdr:from>
    <xdr:to>
      <xdr:col>5</xdr:col>
      <xdr:colOff>904875</xdr:colOff>
      <xdr:row>17</xdr:row>
      <xdr:rowOff>488155</xdr:rowOff>
    </xdr:to>
    <xdr:sp macro="" textlink="">
      <xdr:nvSpPr>
        <xdr:cNvPr id="7" name="5 CuadroTexto">
          <a:extLst>
            <a:ext uri="{FF2B5EF4-FFF2-40B4-BE49-F238E27FC236}">
              <a16:creationId xmlns:a16="http://schemas.microsoft.com/office/drawing/2014/main" id="{00000000-0008-0000-0100-000007000000}"/>
            </a:ext>
          </a:extLst>
        </xdr:cNvPr>
        <xdr:cNvSpPr txBox="1"/>
      </xdr:nvSpPr>
      <xdr:spPr>
        <a:xfrm>
          <a:off x="3833811" y="4286248"/>
          <a:ext cx="1785939" cy="285751"/>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wrap="square" rtlCol="0" anchor="ctr"/>
        <a:lstStyle/>
        <a:p>
          <a:pPr algn="ctr"/>
          <a:r>
            <a:rPr lang="es-ES" sz="1400" b="1"/>
            <a:t>SUPLEMENTACION 1</a:t>
          </a:r>
        </a:p>
      </xdr:txBody>
    </xdr:sp>
    <xdr:clientData/>
  </xdr:twoCellAnchor>
  <xdr:twoCellAnchor>
    <xdr:from>
      <xdr:col>6</xdr:col>
      <xdr:colOff>59531</xdr:colOff>
      <xdr:row>17</xdr:row>
      <xdr:rowOff>202406</xdr:rowOff>
    </xdr:from>
    <xdr:to>
      <xdr:col>8</xdr:col>
      <xdr:colOff>11907</xdr:colOff>
      <xdr:row>17</xdr:row>
      <xdr:rowOff>488157</xdr:rowOff>
    </xdr:to>
    <xdr:sp macro="" textlink="">
      <xdr:nvSpPr>
        <xdr:cNvPr id="8" name="5 CuadroTexto">
          <a:extLst>
            <a:ext uri="{FF2B5EF4-FFF2-40B4-BE49-F238E27FC236}">
              <a16:creationId xmlns:a16="http://schemas.microsoft.com/office/drawing/2014/main" id="{00000000-0008-0000-0100-000008000000}"/>
            </a:ext>
          </a:extLst>
        </xdr:cNvPr>
        <xdr:cNvSpPr txBox="1"/>
      </xdr:nvSpPr>
      <xdr:spPr>
        <a:xfrm>
          <a:off x="5691187" y="4286250"/>
          <a:ext cx="1785939" cy="285751"/>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wrap="square" rtlCol="0" anchor="ctr"/>
        <a:lstStyle/>
        <a:p>
          <a:pPr algn="ctr"/>
          <a:r>
            <a:rPr lang="es-ES" sz="1400" b="1"/>
            <a:t>SUPLEMENTACION 2</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L82"/>
  <sheetViews>
    <sheetView zoomScale="90" zoomScaleNormal="90" zoomScalePageLayoutView="90" workbookViewId="0">
      <selection activeCell="B6" sqref="B6"/>
    </sheetView>
  </sheetViews>
  <sheetFormatPr baseColWidth="10" defaultRowHeight="13" x14ac:dyDescent="0.15"/>
  <cols>
    <col min="1" max="1" width="30.6640625" customWidth="1"/>
    <col min="2" max="2" width="21.5" customWidth="1"/>
    <col min="3" max="3" width="28.5" customWidth="1"/>
    <col min="4" max="4" width="17" customWidth="1"/>
  </cols>
  <sheetData>
    <row r="1" spans="1:12" ht="50" customHeight="1" thickBot="1" x14ac:dyDescent="0.2">
      <c r="A1" s="77" t="s">
        <v>84</v>
      </c>
      <c r="B1" s="78"/>
      <c r="C1" s="79"/>
      <c r="E1" s="104" t="s">
        <v>108</v>
      </c>
      <c r="F1" s="105"/>
      <c r="G1" s="105"/>
      <c r="H1" s="105"/>
      <c r="I1" s="105"/>
      <c r="J1" s="105"/>
      <c r="K1" s="105"/>
      <c r="L1" s="106"/>
    </row>
    <row r="2" spans="1:12" ht="25" customHeight="1" x14ac:dyDescent="0.15">
      <c r="A2" s="70" t="s">
        <v>80</v>
      </c>
      <c r="B2" s="67" t="s">
        <v>71</v>
      </c>
      <c r="C2" s="53">
        <f>IF(B2="Hombre",9,8)</f>
        <v>9</v>
      </c>
      <c r="E2" s="92" t="s">
        <v>104</v>
      </c>
      <c r="F2" s="93"/>
      <c r="G2" s="94"/>
      <c r="H2" s="98">
        <v>70</v>
      </c>
      <c r="I2" s="99"/>
      <c r="J2" s="100"/>
      <c r="K2" s="107"/>
      <c r="L2" s="108"/>
    </row>
    <row r="3" spans="1:12" ht="25" customHeight="1" thickBot="1" x14ac:dyDescent="0.2">
      <c r="A3" s="71" t="s">
        <v>77</v>
      </c>
      <c r="B3" s="68" t="s">
        <v>85</v>
      </c>
      <c r="C3" s="53">
        <f>IF(B3="Menos de 40 años",8,6)</f>
        <v>8</v>
      </c>
      <c r="E3" s="95" t="s">
        <v>105</v>
      </c>
      <c r="F3" s="96"/>
      <c r="G3" s="97"/>
      <c r="H3" s="101">
        <v>68</v>
      </c>
      <c r="I3" s="102"/>
      <c r="J3" s="103"/>
      <c r="K3" s="109"/>
      <c r="L3" s="110"/>
    </row>
    <row r="4" spans="1:12" ht="25" customHeight="1" thickBot="1" x14ac:dyDescent="0.2">
      <c r="A4" s="71" t="s">
        <v>78</v>
      </c>
      <c r="B4" s="68">
        <v>68</v>
      </c>
      <c r="C4" s="53"/>
      <c r="E4" s="80" t="s">
        <v>106</v>
      </c>
      <c r="F4" s="81"/>
      <c r="G4" s="82"/>
      <c r="H4" s="86">
        <f>QUOTIENT(H2-H3,0.5)</f>
        <v>4</v>
      </c>
      <c r="I4" s="87"/>
      <c r="J4" s="88"/>
      <c r="K4" s="111" t="s">
        <v>107</v>
      </c>
      <c r="L4" s="112"/>
    </row>
    <row r="5" spans="1:12" ht="25" customHeight="1" thickBot="1" x14ac:dyDescent="0.2">
      <c r="A5" s="71" t="s">
        <v>79</v>
      </c>
      <c r="B5" s="68" t="s">
        <v>82</v>
      </c>
      <c r="C5" s="53">
        <f>IF(B5="Activo",9,6)</f>
        <v>9</v>
      </c>
      <c r="E5" s="83"/>
      <c r="F5" s="84"/>
      <c r="G5" s="85"/>
      <c r="H5" s="89"/>
      <c r="I5" s="90"/>
      <c r="J5" s="91"/>
      <c r="K5" s="113">
        <f>H4/4.3</f>
        <v>0.93023255813953487</v>
      </c>
      <c r="L5" s="114"/>
    </row>
    <row r="6" spans="1:12" ht="25" customHeight="1" x14ac:dyDescent="0.15">
      <c r="A6" s="72" t="s">
        <v>87</v>
      </c>
      <c r="B6" s="69" t="s">
        <v>88</v>
      </c>
      <c r="C6" s="53">
        <f>IF(B6="Suelo Adelgazar Facil",6,4)</f>
        <v>4</v>
      </c>
      <c r="E6" s="115" t="s">
        <v>109</v>
      </c>
      <c r="F6" s="116"/>
      <c r="G6" s="116"/>
      <c r="H6" s="116"/>
      <c r="I6" s="116"/>
      <c r="J6" s="116"/>
      <c r="K6" s="116"/>
      <c r="L6" s="117"/>
    </row>
    <row r="7" spans="1:12" ht="15" customHeight="1" thickBot="1" x14ac:dyDescent="0.2">
      <c r="A7" s="54"/>
      <c r="B7" s="55"/>
      <c r="C7" s="53">
        <f>SUM(C2:C6)</f>
        <v>30</v>
      </c>
      <c r="E7" s="118"/>
      <c r="F7" s="119"/>
      <c r="G7" s="119"/>
      <c r="H7" s="119"/>
      <c r="I7" s="119"/>
      <c r="J7" s="119"/>
      <c r="K7" s="119"/>
      <c r="L7" s="120"/>
    </row>
    <row r="8" spans="1:12" ht="50" customHeight="1" thickBot="1" x14ac:dyDescent="0.2">
      <c r="A8" s="63" t="s">
        <v>83</v>
      </c>
      <c r="B8" s="64">
        <f xml:space="preserve"> B4*C7</f>
        <v>2040</v>
      </c>
      <c r="C8" s="53"/>
      <c r="E8" s="92" t="s">
        <v>104</v>
      </c>
      <c r="F8" s="93"/>
      <c r="G8" s="94"/>
      <c r="H8" s="123"/>
      <c r="I8" s="124"/>
      <c r="J8" s="125"/>
      <c r="K8" s="121"/>
      <c r="L8" s="122"/>
    </row>
    <row r="9" spans="1:12" ht="50" customHeight="1" thickBot="1" x14ac:dyDescent="0.2">
      <c r="A9" s="65" t="s">
        <v>90</v>
      </c>
      <c r="B9" s="65">
        <f>B8+500</f>
        <v>2540</v>
      </c>
      <c r="C9" s="53"/>
      <c r="E9" s="126" t="s">
        <v>105</v>
      </c>
      <c r="F9" s="127"/>
      <c r="G9" s="128"/>
      <c r="H9" s="101"/>
      <c r="I9" s="102"/>
      <c r="J9" s="103"/>
      <c r="K9" s="111" t="s">
        <v>107</v>
      </c>
      <c r="L9" s="112"/>
    </row>
    <row r="10" spans="1:12" ht="50" customHeight="1" thickBot="1" x14ac:dyDescent="0.2">
      <c r="A10" s="66" t="s">
        <v>91</v>
      </c>
      <c r="B10" s="66">
        <f>B8-500</f>
        <v>1540</v>
      </c>
      <c r="C10" s="53"/>
      <c r="E10" s="129" t="s">
        <v>106</v>
      </c>
      <c r="F10" s="130"/>
      <c r="G10" s="131"/>
      <c r="H10" s="132">
        <f>QUOTIENT(H9-H8,0.1)</f>
        <v>0</v>
      </c>
      <c r="I10" s="133"/>
      <c r="J10" s="134"/>
      <c r="K10" s="113">
        <f>H9/4.3</f>
        <v>0</v>
      </c>
      <c r="L10" s="114"/>
    </row>
    <row r="11" spans="1:12" ht="13.5" customHeight="1" x14ac:dyDescent="0.15"/>
    <row r="12" spans="1:12" ht="12.75" customHeight="1" x14ac:dyDescent="0.15"/>
    <row r="13" spans="1:12" ht="13.5" customHeight="1" x14ac:dyDescent="0.15"/>
    <row r="14" spans="1:12" ht="12.75" customHeight="1" x14ac:dyDescent="0.15"/>
    <row r="15" spans="1:12" ht="12.75" customHeight="1" x14ac:dyDescent="0.15"/>
    <row r="16" spans="1:12" ht="12.75" customHeight="1" x14ac:dyDescent="0.15"/>
    <row r="79" spans="1:3" x14ac:dyDescent="0.15">
      <c r="A79" t="s">
        <v>71</v>
      </c>
      <c r="B79" t="s">
        <v>72</v>
      </c>
    </row>
    <row r="80" spans="1:3" x14ac:dyDescent="0.15">
      <c r="A80" s="52" t="s">
        <v>85</v>
      </c>
      <c r="B80" s="52" t="s">
        <v>86</v>
      </c>
      <c r="C80" s="52"/>
    </row>
    <row r="81" spans="1:2" x14ac:dyDescent="0.15">
      <c r="A81" t="s">
        <v>81</v>
      </c>
      <c r="B81" t="s">
        <v>82</v>
      </c>
    </row>
    <row r="82" spans="1:2" x14ac:dyDescent="0.15">
      <c r="A82" s="52" t="s">
        <v>88</v>
      </c>
      <c r="B82" s="52" t="s">
        <v>89</v>
      </c>
    </row>
  </sheetData>
  <sheetProtection algorithmName="SHA-512" hashValue="GJXpbd2y0VgmB+3RaHWlJBNcS4vjNWo9pgmVxMkIPGTTeVl8t7pyfkdNtxq+s01+3jSgF5Fw8kqWFdWvm9UsvQ==" saltValue="ke9lZ8epzJTqjf1ez6yCNA==" spinCount="100000" sheet="1" objects="1" scenarios="1" formatCells="0" selectLockedCells="1"/>
  <mergeCells count="21">
    <mergeCell ref="K10:L10"/>
    <mergeCell ref="K9:L9"/>
    <mergeCell ref="E6:L7"/>
    <mergeCell ref="K8:L8"/>
    <mergeCell ref="E8:G8"/>
    <mergeCell ref="H8:J8"/>
    <mergeCell ref="E9:G9"/>
    <mergeCell ref="H9:J9"/>
    <mergeCell ref="E10:G10"/>
    <mergeCell ref="H10:J10"/>
    <mergeCell ref="A1:C1"/>
    <mergeCell ref="E4:G5"/>
    <mergeCell ref="H4:J5"/>
    <mergeCell ref="E2:G2"/>
    <mergeCell ref="E3:G3"/>
    <mergeCell ref="H2:J2"/>
    <mergeCell ref="H3:J3"/>
    <mergeCell ref="E1:L1"/>
    <mergeCell ref="K2:L3"/>
    <mergeCell ref="K4:L4"/>
    <mergeCell ref="K5:L5"/>
  </mergeCells>
  <dataValidations count="4">
    <dataValidation type="list" allowBlank="1" showInputMessage="1" showErrorMessage="1" sqref="B2" xr:uid="{00000000-0002-0000-0000-000000000000}">
      <formula1>$A$79:$B$79</formula1>
    </dataValidation>
    <dataValidation type="list" allowBlank="1" showInputMessage="1" showErrorMessage="1" sqref="B3" xr:uid="{00000000-0002-0000-0000-000001000000}">
      <formula1>$A$80:$B$80</formula1>
    </dataValidation>
    <dataValidation type="list" allowBlank="1" showInputMessage="1" showErrorMessage="1" sqref="B5" xr:uid="{00000000-0002-0000-0000-000002000000}">
      <formula1>$A$81:$B$81</formula1>
    </dataValidation>
    <dataValidation type="list" allowBlank="1" showInputMessage="1" showErrorMessage="1" sqref="B6" xr:uid="{00000000-0002-0000-0000-000003000000}">
      <formula1>$A$82:$B$82</formula1>
    </dataValidation>
  </dataValidation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J37"/>
  <sheetViews>
    <sheetView tabSelected="1" topLeftCell="A13" zoomScaleNormal="100" zoomScalePageLayoutView="70" workbookViewId="0">
      <selection activeCell="C25" sqref="C25:J26"/>
    </sheetView>
  </sheetViews>
  <sheetFormatPr baseColWidth="10" defaultRowHeight="13" x14ac:dyDescent="0.15"/>
  <cols>
    <col min="1" max="1" width="13.6640625" style="3" customWidth="1"/>
    <col min="2" max="2" width="17.6640625" style="3" customWidth="1"/>
    <col min="3" max="10" width="15.6640625" style="3" customWidth="1"/>
    <col min="11" max="16" width="10.83203125" style="3"/>
    <col min="17" max="17" width="11.5" style="3" customWidth="1"/>
    <col min="18" max="16384" width="10.83203125" style="3"/>
  </cols>
  <sheetData>
    <row r="1" spans="1:10" s="13" customFormat="1" ht="15" customHeight="1" x14ac:dyDescent="0.15">
      <c r="A1" s="151" t="s">
        <v>52</v>
      </c>
      <c r="B1" s="158" t="s">
        <v>53</v>
      </c>
      <c r="C1" s="157" t="s">
        <v>101</v>
      </c>
      <c r="D1" s="155" t="s">
        <v>100</v>
      </c>
      <c r="E1" s="156" t="s">
        <v>99</v>
      </c>
      <c r="F1" s="37" t="s">
        <v>47</v>
      </c>
      <c r="G1" s="37" t="s">
        <v>103</v>
      </c>
      <c r="H1" s="37" t="s">
        <v>48</v>
      </c>
      <c r="I1" s="37" t="s">
        <v>49</v>
      </c>
      <c r="J1" s="37" t="s">
        <v>69</v>
      </c>
    </row>
    <row r="2" spans="1:10" s="13" customFormat="1" ht="15" customHeight="1" thickBot="1" x14ac:dyDescent="0.2">
      <c r="A2" s="152"/>
      <c r="B2" s="152"/>
      <c r="C2" s="152"/>
      <c r="D2" s="152"/>
      <c r="E2" s="152"/>
      <c r="F2" s="36" t="s">
        <v>12</v>
      </c>
      <c r="G2" s="36" t="s">
        <v>12</v>
      </c>
      <c r="H2" s="36" t="s">
        <v>12</v>
      </c>
      <c r="I2" s="36" t="s">
        <v>12</v>
      </c>
      <c r="J2" s="36" t="s">
        <v>12</v>
      </c>
    </row>
    <row r="3" spans="1:10" ht="17" thickBot="1" x14ac:dyDescent="0.2">
      <c r="A3" s="28">
        <f>Càlculs!C164</f>
        <v>1168.73</v>
      </c>
      <c r="B3" s="28">
        <f>Càlculs!D164</f>
        <v>1967.61</v>
      </c>
      <c r="C3" s="28">
        <f>Càlculs!E164</f>
        <v>165.77500000000001</v>
      </c>
      <c r="D3" s="28">
        <f>Càlculs!F164</f>
        <v>47.139999999999993</v>
      </c>
      <c r="E3" s="28">
        <f>Càlculs!G164</f>
        <v>221.13500000000002</v>
      </c>
      <c r="F3" s="28">
        <f>Càlculs!H164</f>
        <v>965.47500000000002</v>
      </c>
      <c r="G3" s="28">
        <f>Càlculs!I164</f>
        <v>4067.1</v>
      </c>
      <c r="H3" s="28">
        <f>Càlculs!J164</f>
        <v>1575.3</v>
      </c>
      <c r="I3" s="28">
        <f>Càlculs!K164</f>
        <v>357.9</v>
      </c>
      <c r="J3" s="28">
        <f>Càlculs!U164</f>
        <v>461</v>
      </c>
    </row>
    <row r="4" spans="1:10" ht="9" customHeight="1" x14ac:dyDescent="0.15"/>
    <row r="5" spans="1:10" ht="6.75" customHeight="1" thickBot="1" x14ac:dyDescent="0.2"/>
    <row r="6" spans="1:10" ht="15" customHeight="1" x14ac:dyDescent="0.15">
      <c r="A6" s="38" t="s">
        <v>51</v>
      </c>
      <c r="B6" s="37" t="s">
        <v>66</v>
      </c>
      <c r="C6" s="37" t="s">
        <v>50</v>
      </c>
      <c r="D6" s="37" t="s">
        <v>14</v>
      </c>
      <c r="E6" s="37" t="s">
        <v>15</v>
      </c>
      <c r="F6" s="37" t="s">
        <v>16</v>
      </c>
      <c r="G6" s="37" t="s">
        <v>17</v>
      </c>
      <c r="H6" s="37" t="s">
        <v>76</v>
      </c>
      <c r="I6" s="37" t="s">
        <v>65</v>
      </c>
      <c r="J6" s="37" t="s">
        <v>68</v>
      </c>
    </row>
    <row r="7" spans="1:10" ht="15" customHeight="1" thickBot="1" x14ac:dyDescent="0.2">
      <c r="A7" s="39" t="s">
        <v>45</v>
      </c>
      <c r="B7" s="36" t="s">
        <v>12</v>
      </c>
      <c r="C7" s="36" t="s">
        <v>12</v>
      </c>
      <c r="D7" s="36" t="s">
        <v>12</v>
      </c>
      <c r="E7" s="36" t="s">
        <v>12</v>
      </c>
      <c r="F7" s="36" t="s">
        <v>12</v>
      </c>
      <c r="G7" s="36" t="s">
        <v>12</v>
      </c>
      <c r="H7" s="36" t="s">
        <v>20</v>
      </c>
      <c r="I7" s="36" t="s">
        <v>20</v>
      </c>
      <c r="J7" s="36" t="s">
        <v>12</v>
      </c>
    </row>
    <row r="8" spans="1:10" ht="17" thickBot="1" x14ac:dyDescent="0.2">
      <c r="A8" s="40">
        <f>Càlculs!S164</f>
        <v>6.3199999999999994</v>
      </c>
      <c r="B8" s="28">
        <f>Càlculs!T164</f>
        <v>565.5</v>
      </c>
      <c r="C8" s="28">
        <f>Càlculs!L164</f>
        <v>18.625</v>
      </c>
      <c r="D8" s="28">
        <f>Càlculs!M164</f>
        <v>122.10000000000001</v>
      </c>
      <c r="E8" s="28">
        <f>Càlculs!N164</f>
        <v>1.4710000000000003</v>
      </c>
      <c r="F8" s="28">
        <f>Càlculs!O164</f>
        <v>2.5340000000000003</v>
      </c>
      <c r="G8" s="28">
        <f>Càlculs!P164</f>
        <v>27.805000000000003</v>
      </c>
      <c r="H8" s="28">
        <f>Càlculs!Q164</f>
        <v>1414</v>
      </c>
      <c r="I8" s="28">
        <f>Càlculs!R164</f>
        <v>180</v>
      </c>
      <c r="J8" s="28">
        <f>Càlculs!L169</f>
        <v>0</v>
      </c>
    </row>
    <row r="11" spans="1:10" ht="14" thickBot="1" x14ac:dyDescent="0.2"/>
    <row r="12" spans="1:10" ht="33.75" customHeight="1" thickBot="1" x14ac:dyDescent="0.2">
      <c r="A12" s="27" t="s">
        <v>57</v>
      </c>
      <c r="B12" s="28">
        <f>E12/E15*100</f>
        <v>33.627465895836501</v>
      </c>
      <c r="C12" s="14"/>
      <c r="D12" s="32" t="s">
        <v>22</v>
      </c>
      <c r="E12" s="28">
        <f>Càlculs!G169</f>
        <v>663.1</v>
      </c>
    </row>
    <row r="13" spans="1:10" ht="33" customHeight="1" thickBot="1" x14ac:dyDescent="0.2">
      <c r="A13" s="27" t="s">
        <v>54</v>
      </c>
      <c r="B13" s="28">
        <f>E13/E15*100</f>
        <v>21.515289821999083</v>
      </c>
      <c r="C13" s="14"/>
      <c r="D13" s="31" t="s">
        <v>58</v>
      </c>
      <c r="E13" s="28">
        <f>Càlculs!G170</f>
        <v>424.25999999999993</v>
      </c>
    </row>
    <row r="14" spans="1:10" ht="35" thickBot="1" x14ac:dyDescent="0.2">
      <c r="A14" s="27" t="s">
        <v>55</v>
      </c>
      <c r="B14" s="28">
        <f>E14/E15*100</f>
        <v>44.857244282164409</v>
      </c>
      <c r="C14" s="14"/>
      <c r="D14" s="30" t="s">
        <v>59</v>
      </c>
      <c r="E14" s="28">
        <f>Càlculs!G171</f>
        <v>884.54000000000008</v>
      </c>
    </row>
    <row r="15" spans="1:10" ht="33" customHeight="1" thickBot="1" x14ac:dyDescent="0.2">
      <c r="A15" s="27" t="s">
        <v>56</v>
      </c>
      <c r="B15" s="28">
        <f>Càlculs!C172</f>
        <v>0.22719482003427918</v>
      </c>
      <c r="C15" s="14"/>
      <c r="D15" s="33" t="s">
        <v>28</v>
      </c>
      <c r="E15" s="28">
        <f>Càlculs!G172</f>
        <v>1971.9</v>
      </c>
    </row>
    <row r="16" spans="1:10" ht="17" thickBot="1" x14ac:dyDescent="0.25">
      <c r="A16" s="15"/>
      <c r="B16" s="29"/>
      <c r="C16" s="14"/>
      <c r="D16" s="14"/>
      <c r="E16" s="16"/>
    </row>
    <row r="17" spans="1:10" ht="32.25" customHeight="1" thickBot="1" x14ac:dyDescent="0.2">
      <c r="A17" s="27" t="s">
        <v>60</v>
      </c>
      <c r="B17" s="28">
        <f>Càlculs!C174</f>
        <v>0</v>
      </c>
      <c r="C17" s="14"/>
      <c r="D17" s="27" t="s">
        <v>30</v>
      </c>
      <c r="E17" s="28">
        <f>Càlculs!G174</f>
        <v>79.960790227718292</v>
      </c>
    </row>
    <row r="18" spans="1:10" ht="45" customHeight="1" thickBot="1" x14ac:dyDescent="0.2"/>
    <row r="19" spans="1:10" ht="10" customHeight="1" x14ac:dyDescent="0.15">
      <c r="B19" s="159" t="s">
        <v>31</v>
      </c>
      <c r="C19" s="167" t="s">
        <v>40</v>
      </c>
      <c r="D19" s="165">
        <f>B3</f>
        <v>1967.61</v>
      </c>
      <c r="E19" s="169" t="s">
        <v>41</v>
      </c>
      <c r="F19" s="171">
        <f>C3</f>
        <v>165.77500000000001</v>
      </c>
      <c r="G19" s="173" t="s">
        <v>43</v>
      </c>
      <c r="H19" s="175">
        <f>E3</f>
        <v>221.13500000000002</v>
      </c>
      <c r="I19" s="161" t="s">
        <v>42</v>
      </c>
      <c r="J19" s="163">
        <f>D3</f>
        <v>47.139999999999993</v>
      </c>
    </row>
    <row r="20" spans="1:10" ht="10" customHeight="1" thickBot="1" x14ac:dyDescent="0.2">
      <c r="B20" s="160"/>
      <c r="C20" s="168"/>
      <c r="D20" s="166"/>
      <c r="E20" s="170"/>
      <c r="F20" s="172"/>
      <c r="G20" s="174"/>
      <c r="H20" s="176"/>
      <c r="I20" s="162"/>
      <c r="J20" s="164"/>
    </row>
    <row r="21" spans="1:10" ht="25" customHeight="1" thickBot="1" x14ac:dyDescent="0.2">
      <c r="B21" s="177" t="s">
        <v>61</v>
      </c>
      <c r="C21" s="153" t="s">
        <v>242</v>
      </c>
      <c r="D21" s="154"/>
      <c r="E21" s="154"/>
      <c r="F21" s="154"/>
      <c r="G21" s="154"/>
      <c r="H21" s="154"/>
      <c r="I21" s="154"/>
      <c r="J21" s="154"/>
    </row>
    <row r="22" spans="1:10" ht="25" customHeight="1" thickBot="1" x14ac:dyDescent="0.2">
      <c r="B22" s="178"/>
      <c r="C22" s="154"/>
      <c r="D22" s="154"/>
      <c r="E22" s="154"/>
      <c r="F22" s="154"/>
      <c r="G22" s="154"/>
      <c r="H22" s="154"/>
      <c r="I22" s="154"/>
      <c r="J22" s="154"/>
    </row>
    <row r="23" spans="1:10" ht="25" customHeight="1" thickBot="1" x14ac:dyDescent="0.2">
      <c r="B23" s="177" t="s">
        <v>62</v>
      </c>
      <c r="C23" s="153" t="s">
        <v>241</v>
      </c>
      <c r="D23" s="154"/>
      <c r="E23" s="154"/>
      <c r="F23" s="154"/>
      <c r="G23" s="154"/>
      <c r="H23" s="154"/>
      <c r="I23" s="154"/>
      <c r="J23" s="154"/>
    </row>
    <row r="24" spans="1:10" ht="25" customHeight="1" thickBot="1" x14ac:dyDescent="0.2">
      <c r="B24" s="178"/>
      <c r="C24" s="154"/>
      <c r="D24" s="154"/>
      <c r="E24" s="154"/>
      <c r="F24" s="154"/>
      <c r="G24" s="154"/>
      <c r="H24" s="154"/>
      <c r="I24" s="154"/>
      <c r="J24" s="154"/>
    </row>
    <row r="25" spans="1:10" ht="25" customHeight="1" x14ac:dyDescent="0.15">
      <c r="B25" s="185" t="s">
        <v>63</v>
      </c>
      <c r="C25" s="187" t="s">
        <v>245</v>
      </c>
      <c r="D25" s="180"/>
      <c r="E25" s="180"/>
      <c r="F25" s="180"/>
      <c r="G25" s="180"/>
      <c r="H25" s="180"/>
      <c r="I25" s="180"/>
      <c r="J25" s="181"/>
    </row>
    <row r="26" spans="1:10" ht="25" customHeight="1" thickBot="1" x14ac:dyDescent="0.2">
      <c r="B26" s="186"/>
      <c r="C26" s="182"/>
      <c r="D26" s="183"/>
      <c r="E26" s="183"/>
      <c r="F26" s="183"/>
      <c r="G26" s="183"/>
      <c r="H26" s="183"/>
      <c r="I26" s="183"/>
      <c r="J26" s="184"/>
    </row>
    <row r="27" spans="1:10" ht="25" customHeight="1" x14ac:dyDescent="0.15">
      <c r="B27" s="185" t="s">
        <v>239</v>
      </c>
      <c r="C27" s="187" t="s">
        <v>243</v>
      </c>
      <c r="D27" s="180"/>
      <c r="E27" s="180"/>
      <c r="F27" s="180"/>
      <c r="G27" s="180"/>
      <c r="H27" s="180"/>
      <c r="I27" s="180"/>
      <c r="J27" s="181"/>
    </row>
    <row r="28" spans="1:10" ht="25" customHeight="1" thickBot="1" x14ac:dyDescent="0.2">
      <c r="B28" s="186"/>
      <c r="C28" s="182"/>
      <c r="D28" s="183"/>
      <c r="E28" s="183"/>
      <c r="F28" s="183"/>
      <c r="G28" s="183"/>
      <c r="H28" s="183"/>
      <c r="I28" s="183"/>
      <c r="J28" s="184"/>
    </row>
    <row r="29" spans="1:10" ht="25" customHeight="1" thickBot="1" x14ac:dyDescent="0.2">
      <c r="B29" s="177" t="s">
        <v>64</v>
      </c>
      <c r="C29" s="179"/>
      <c r="D29" s="180"/>
      <c r="E29" s="180"/>
      <c r="F29" s="180"/>
      <c r="G29" s="180"/>
      <c r="H29" s="180"/>
      <c r="I29" s="180"/>
      <c r="J29" s="181"/>
    </row>
    <row r="30" spans="1:10" ht="25" customHeight="1" thickBot="1" x14ac:dyDescent="0.2">
      <c r="B30" s="178"/>
      <c r="C30" s="182"/>
      <c r="D30" s="183"/>
      <c r="E30" s="183"/>
      <c r="F30" s="183"/>
      <c r="G30" s="183"/>
      <c r="H30" s="183"/>
      <c r="I30" s="183"/>
      <c r="J30" s="184"/>
    </row>
    <row r="31" spans="1:10" ht="25" customHeight="1" thickBot="1" x14ac:dyDescent="0.2">
      <c r="B31" s="177" t="s">
        <v>238</v>
      </c>
      <c r="C31" s="187"/>
      <c r="D31" s="180"/>
      <c r="E31" s="180"/>
      <c r="F31" s="180"/>
      <c r="G31" s="180"/>
      <c r="H31" s="180"/>
      <c r="I31" s="180"/>
      <c r="J31" s="181"/>
    </row>
    <row r="32" spans="1:10" ht="25" customHeight="1" thickBot="1" x14ac:dyDescent="0.2">
      <c r="B32" s="178"/>
      <c r="C32" s="182"/>
      <c r="D32" s="183"/>
      <c r="E32" s="183"/>
      <c r="F32" s="183"/>
      <c r="G32" s="183"/>
      <c r="H32" s="183"/>
      <c r="I32" s="183"/>
      <c r="J32" s="184"/>
    </row>
    <row r="33" spans="2:10" ht="10" customHeight="1" x14ac:dyDescent="0.15">
      <c r="B33" s="148" t="s">
        <v>240</v>
      </c>
      <c r="C33" s="138" t="s">
        <v>244</v>
      </c>
      <c r="D33" s="139"/>
      <c r="E33" s="139"/>
      <c r="F33" s="139"/>
      <c r="G33" s="139"/>
      <c r="H33" s="139"/>
      <c r="I33" s="139"/>
      <c r="J33" s="140"/>
    </row>
    <row r="34" spans="2:10" ht="10" customHeight="1" x14ac:dyDescent="0.15">
      <c r="B34" s="149"/>
      <c r="C34" s="141"/>
      <c r="D34" s="142"/>
      <c r="E34" s="142"/>
      <c r="F34" s="142"/>
      <c r="G34" s="142"/>
      <c r="H34" s="142"/>
      <c r="I34" s="142"/>
      <c r="J34" s="143"/>
    </row>
    <row r="35" spans="2:10" ht="10" customHeight="1" x14ac:dyDescent="0.15">
      <c r="B35" s="149"/>
      <c r="C35" s="141"/>
      <c r="D35" s="144"/>
      <c r="E35" s="144"/>
      <c r="F35" s="144"/>
      <c r="G35" s="144"/>
      <c r="H35" s="144"/>
      <c r="I35" s="144"/>
      <c r="J35" s="143"/>
    </row>
    <row r="36" spans="2:10" ht="10" customHeight="1" thickBot="1" x14ac:dyDescent="0.2">
      <c r="B36" s="150"/>
      <c r="C36" s="145"/>
      <c r="D36" s="146"/>
      <c r="E36" s="146"/>
      <c r="F36" s="146"/>
      <c r="G36" s="146"/>
      <c r="H36" s="146"/>
      <c r="I36" s="146"/>
      <c r="J36" s="147"/>
    </row>
    <row r="37" spans="2:10" ht="15" thickBot="1" x14ac:dyDescent="0.2">
      <c r="D37" s="135"/>
      <c r="E37" s="136"/>
      <c r="F37" s="136"/>
      <c r="G37" s="136"/>
      <c r="H37" s="136"/>
      <c r="I37" s="137"/>
    </row>
  </sheetData>
  <mergeCells count="29">
    <mergeCell ref="B31:B32"/>
    <mergeCell ref="C29:J30"/>
    <mergeCell ref="C23:J24"/>
    <mergeCell ref="B25:B26"/>
    <mergeCell ref="C25:J26"/>
    <mergeCell ref="B27:B28"/>
    <mergeCell ref="C27:J28"/>
    <mergeCell ref="C31:J32"/>
    <mergeCell ref="G19:G20"/>
    <mergeCell ref="H19:H20"/>
    <mergeCell ref="B21:B22"/>
    <mergeCell ref="B23:B24"/>
    <mergeCell ref="B29:B30"/>
    <mergeCell ref="D37:I37"/>
    <mergeCell ref="C33:J36"/>
    <mergeCell ref="B33:B36"/>
    <mergeCell ref="A1:A2"/>
    <mergeCell ref="C21:J22"/>
    <mergeCell ref="D1:D2"/>
    <mergeCell ref="E1:E2"/>
    <mergeCell ref="C1:C2"/>
    <mergeCell ref="B1:B2"/>
    <mergeCell ref="B19:B20"/>
    <mergeCell ref="I19:I20"/>
    <mergeCell ref="J19:J20"/>
    <mergeCell ref="D19:D20"/>
    <mergeCell ref="C19:C20"/>
    <mergeCell ref="E19:E20"/>
    <mergeCell ref="F19:F20"/>
  </mergeCells>
  <phoneticPr fontId="0" type="noConversion"/>
  <printOptions horizontalCentered="1"/>
  <pageMargins left="0.19685039370078741" right="0.15748031496062992" top="0.56999999999999995" bottom="0.28999999999999998" header="0" footer="0"/>
  <pageSetup paperSize="9" scale="49" orientation="landscape"/>
  <headerFooter>
    <oddHeader xml:space="preserve">&amp;L&amp;"Arial,Negrita"&amp;12Nombre:
Fecha:
</oddHeader>
    <oddFooter>&amp;C&amp;"Arial,Negrita"&amp;12&amp;K03+000www.cpatermi.com</oddFooter>
  </headerFooter>
  <drawing r:id="rId1"/>
  <legacy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4"/>
  <sheetViews>
    <sheetView zoomScale="90" zoomScaleNormal="90" zoomScalePageLayoutView="90" workbookViewId="0">
      <selection activeCell="B49" sqref="B49"/>
    </sheetView>
  </sheetViews>
  <sheetFormatPr baseColWidth="10" defaultRowHeight="13" x14ac:dyDescent="0.15"/>
  <cols>
    <col min="1" max="1" width="10.6640625" customWidth="1"/>
    <col min="2" max="2" width="65.6640625" customWidth="1"/>
    <col min="3" max="27" width="12.6640625" customWidth="1"/>
  </cols>
  <sheetData>
    <row r="1" spans="1:27" s="1" customFormat="1" x14ac:dyDescent="0.15">
      <c r="C1" s="17" t="s">
        <v>0</v>
      </c>
      <c r="D1" s="17" t="s">
        <v>1</v>
      </c>
      <c r="E1" s="17" t="s">
        <v>2</v>
      </c>
      <c r="F1" s="17" t="s">
        <v>3</v>
      </c>
      <c r="G1" s="17" t="s">
        <v>4</v>
      </c>
      <c r="H1" s="17" t="s">
        <v>5</v>
      </c>
      <c r="I1" s="17" t="s">
        <v>6</v>
      </c>
      <c r="J1" s="17" t="s">
        <v>7</v>
      </c>
      <c r="K1" s="17" t="s">
        <v>8</v>
      </c>
      <c r="L1" s="17" t="s">
        <v>13</v>
      </c>
      <c r="M1" s="17" t="s">
        <v>14</v>
      </c>
      <c r="N1" s="17" t="s">
        <v>15</v>
      </c>
      <c r="O1" s="17" t="s">
        <v>16</v>
      </c>
      <c r="P1" s="17" t="s">
        <v>17</v>
      </c>
      <c r="Q1" s="17" t="s">
        <v>18</v>
      </c>
      <c r="R1" s="17" t="s">
        <v>19</v>
      </c>
      <c r="S1" s="17" t="s">
        <v>44</v>
      </c>
      <c r="T1" s="17" t="s">
        <v>66</v>
      </c>
      <c r="U1" s="17" t="s">
        <v>70</v>
      </c>
      <c r="V1" s="17" t="s">
        <v>94</v>
      </c>
      <c r="W1" s="17" t="s">
        <v>95</v>
      </c>
      <c r="X1" s="17" t="s">
        <v>96</v>
      </c>
      <c r="Y1" s="17" t="s">
        <v>97</v>
      </c>
      <c r="Z1" s="17" t="s">
        <v>102</v>
      </c>
      <c r="AA1" s="17" t="s">
        <v>98</v>
      </c>
    </row>
    <row r="2" spans="1:27" s="1" customFormat="1" ht="14" thickBot="1" x14ac:dyDescent="0.2">
      <c r="C2" s="18" t="s">
        <v>9</v>
      </c>
      <c r="D2" s="18" t="s">
        <v>10</v>
      </c>
      <c r="E2" s="18" t="s">
        <v>9</v>
      </c>
      <c r="F2" s="18" t="s">
        <v>9</v>
      </c>
      <c r="G2" s="18" t="s">
        <v>9</v>
      </c>
      <c r="H2" s="18" t="s">
        <v>12</v>
      </c>
      <c r="I2" s="18" t="s">
        <v>12</v>
      </c>
      <c r="J2" s="18" t="s">
        <v>12</v>
      </c>
      <c r="K2" s="18" t="s">
        <v>12</v>
      </c>
      <c r="L2" s="18" t="s">
        <v>12</v>
      </c>
      <c r="M2" s="18" t="s">
        <v>12</v>
      </c>
      <c r="N2" s="18" t="s">
        <v>12</v>
      </c>
      <c r="O2" s="18" t="s">
        <v>12</v>
      </c>
      <c r="P2" s="18" t="s">
        <v>12</v>
      </c>
      <c r="Q2" s="18" t="s">
        <v>20</v>
      </c>
      <c r="R2" s="18" t="s">
        <v>20</v>
      </c>
      <c r="S2" s="18" t="s">
        <v>46</v>
      </c>
      <c r="T2" s="18" t="s">
        <v>12</v>
      </c>
      <c r="U2" s="18" t="s">
        <v>12</v>
      </c>
      <c r="V2" s="18" t="s">
        <v>12</v>
      </c>
      <c r="W2" s="18" t="s">
        <v>12</v>
      </c>
      <c r="X2" s="18" t="s">
        <v>12</v>
      </c>
      <c r="Y2" s="18" t="s">
        <v>12</v>
      </c>
      <c r="Z2" s="18" t="s">
        <v>12</v>
      </c>
      <c r="AA2" s="18" t="s">
        <v>12</v>
      </c>
    </row>
    <row r="3" spans="1:27" ht="17" thickBot="1" x14ac:dyDescent="0.25">
      <c r="A3" s="57" t="s">
        <v>92</v>
      </c>
      <c r="B3" s="19" t="s">
        <v>110</v>
      </c>
    </row>
    <row r="4" spans="1:27" x14ac:dyDescent="0.15">
      <c r="A4" s="20"/>
      <c r="B4" s="24" t="s">
        <v>111</v>
      </c>
      <c r="C4" s="4">
        <v>76</v>
      </c>
      <c r="D4" s="4">
        <v>108</v>
      </c>
      <c r="E4" s="4">
        <v>20.6</v>
      </c>
      <c r="F4" s="4">
        <v>2.7</v>
      </c>
      <c r="G4" s="4">
        <v>0.4</v>
      </c>
      <c r="H4" s="4">
        <v>44</v>
      </c>
      <c r="I4" s="4">
        <v>377</v>
      </c>
      <c r="J4" s="4">
        <v>200</v>
      </c>
      <c r="K4" s="4">
        <v>9.1999999999999993</v>
      </c>
      <c r="L4" s="4">
        <v>4.8</v>
      </c>
      <c r="M4" s="4">
        <v>0</v>
      </c>
      <c r="N4" s="4">
        <v>0.11</v>
      </c>
      <c r="O4" s="4">
        <v>0.15</v>
      </c>
      <c r="P4" s="4">
        <v>6.6</v>
      </c>
      <c r="Q4" s="4">
        <v>0</v>
      </c>
      <c r="R4" s="4">
        <v>21</v>
      </c>
      <c r="S4" s="4">
        <v>1.1000000000000001</v>
      </c>
      <c r="T4" s="4">
        <v>54</v>
      </c>
      <c r="U4" s="4">
        <v>26</v>
      </c>
    </row>
    <row r="5" spans="1:27" x14ac:dyDescent="0.15">
      <c r="A5" s="21">
        <v>150</v>
      </c>
      <c r="B5" s="23" t="s">
        <v>112</v>
      </c>
      <c r="C5" s="4">
        <v>68.2</v>
      </c>
      <c r="D5" s="4">
        <v>175</v>
      </c>
      <c r="E5" s="4">
        <v>19</v>
      </c>
      <c r="F5" s="4">
        <v>11</v>
      </c>
      <c r="G5" s="4">
        <v>0</v>
      </c>
      <c r="H5" s="4">
        <v>70</v>
      </c>
      <c r="I5" s="4">
        <v>360</v>
      </c>
      <c r="J5" s="4">
        <v>203</v>
      </c>
      <c r="K5" s="4">
        <v>8</v>
      </c>
      <c r="L5" s="4">
        <v>2.9</v>
      </c>
      <c r="M5" s="4">
        <v>0</v>
      </c>
      <c r="N5" s="4">
        <v>0.08</v>
      </c>
      <c r="O5" s="4">
        <v>0.21</v>
      </c>
      <c r="P5" s="4">
        <v>4.7</v>
      </c>
      <c r="Q5" s="4">
        <v>0</v>
      </c>
      <c r="R5" s="4">
        <v>0</v>
      </c>
      <c r="S5" s="4">
        <v>0.89</v>
      </c>
      <c r="T5" s="4">
        <v>74</v>
      </c>
      <c r="U5" s="4">
        <v>20</v>
      </c>
    </row>
    <row r="6" spans="1:27" x14ac:dyDescent="0.15">
      <c r="A6" s="21"/>
      <c r="B6" s="23" t="s">
        <v>113</v>
      </c>
      <c r="C6" s="4">
        <v>64</v>
      </c>
      <c r="D6" s="4">
        <v>240</v>
      </c>
      <c r="E6" s="4">
        <v>17</v>
      </c>
      <c r="F6" s="4">
        <v>19</v>
      </c>
      <c r="G6" s="4">
        <v>0</v>
      </c>
      <c r="H6" s="4">
        <v>70</v>
      </c>
      <c r="I6" s="4">
        <v>300</v>
      </c>
      <c r="J6" s="4">
        <v>170</v>
      </c>
      <c r="K6" s="4">
        <v>9</v>
      </c>
      <c r="L6" s="4">
        <v>2.7</v>
      </c>
      <c r="M6" s="4">
        <v>0</v>
      </c>
      <c r="N6" s="4">
        <v>0.13</v>
      </c>
      <c r="O6" s="4">
        <v>0.2</v>
      </c>
      <c r="P6" s="4">
        <v>5</v>
      </c>
      <c r="Q6" s="4">
        <v>0</v>
      </c>
      <c r="R6" s="4">
        <v>0</v>
      </c>
      <c r="S6" s="4">
        <v>1.395</v>
      </c>
      <c r="T6" s="4">
        <v>77</v>
      </c>
      <c r="U6" s="4">
        <v>22</v>
      </c>
    </row>
    <row r="7" spans="1:27" x14ac:dyDescent="0.15">
      <c r="A7" s="21"/>
      <c r="B7" s="23" t="s">
        <v>114</v>
      </c>
      <c r="C7" s="4">
        <v>58.4</v>
      </c>
      <c r="D7" s="4">
        <v>304</v>
      </c>
      <c r="E7" s="4">
        <v>16.3</v>
      </c>
      <c r="F7" s="4">
        <v>26.6</v>
      </c>
      <c r="G7" s="4">
        <v>0</v>
      </c>
      <c r="H7" s="4">
        <v>75</v>
      </c>
      <c r="I7" s="4">
        <v>290</v>
      </c>
      <c r="J7" s="4">
        <v>190</v>
      </c>
      <c r="K7" s="4">
        <v>9</v>
      </c>
      <c r="L7" s="4">
        <v>2</v>
      </c>
      <c r="M7" s="4">
        <v>0.2</v>
      </c>
      <c r="N7" s="4">
        <v>0.79</v>
      </c>
      <c r="O7" s="4">
        <v>0.2</v>
      </c>
      <c r="P7" s="4">
        <v>4.0999999999999996</v>
      </c>
      <c r="Q7" s="4">
        <v>0</v>
      </c>
      <c r="R7" s="4">
        <v>0</v>
      </c>
      <c r="S7" s="4">
        <v>0.54900000000000004</v>
      </c>
      <c r="T7" s="4">
        <v>64</v>
      </c>
      <c r="U7" s="4">
        <v>20</v>
      </c>
    </row>
    <row r="8" spans="1:27" x14ac:dyDescent="0.15">
      <c r="A8" s="21"/>
      <c r="B8" s="23" t="s">
        <v>115</v>
      </c>
      <c r="C8" s="4">
        <v>68</v>
      </c>
      <c r="D8" s="4">
        <v>160</v>
      </c>
      <c r="E8" s="4">
        <v>22</v>
      </c>
      <c r="F8" s="4">
        <v>8</v>
      </c>
      <c r="G8" s="4">
        <v>0</v>
      </c>
      <c r="H8" s="4">
        <v>47</v>
      </c>
      <c r="I8" s="4">
        <v>360</v>
      </c>
      <c r="J8" s="4">
        <v>220</v>
      </c>
      <c r="K8" s="4">
        <v>20</v>
      </c>
      <c r="L8" s="4">
        <v>1.5</v>
      </c>
      <c r="M8" s="4">
        <v>0</v>
      </c>
      <c r="N8" s="4">
        <v>7.0000000000000007E-2</v>
      </c>
      <c r="O8" s="4">
        <v>0.12</v>
      </c>
      <c r="P8" s="4">
        <v>8.6999999999999993</v>
      </c>
      <c r="Q8" s="4">
        <v>0</v>
      </c>
      <c r="R8" s="4">
        <v>0</v>
      </c>
      <c r="S8" s="4">
        <v>0.72</v>
      </c>
      <c r="T8" s="4">
        <v>58</v>
      </c>
      <c r="U8" s="4">
        <v>25</v>
      </c>
    </row>
    <row r="9" spans="1:27" x14ac:dyDescent="0.15">
      <c r="A9" s="26">
        <v>150</v>
      </c>
      <c r="B9" s="23" t="s">
        <v>123</v>
      </c>
      <c r="C9" s="4">
        <v>74.599999999999994</v>
      </c>
      <c r="D9" s="4">
        <v>121</v>
      </c>
      <c r="E9" s="4">
        <v>20.5</v>
      </c>
      <c r="F9" s="4">
        <v>4.3</v>
      </c>
      <c r="G9" s="4">
        <v>0</v>
      </c>
      <c r="H9" s="4">
        <v>78</v>
      </c>
      <c r="I9" s="4">
        <v>300</v>
      </c>
      <c r="J9" s="4">
        <v>200</v>
      </c>
      <c r="K9" s="4">
        <v>12</v>
      </c>
      <c r="L9" s="4">
        <v>1</v>
      </c>
      <c r="M9" s="4">
        <v>4</v>
      </c>
      <c r="N9" s="4">
        <v>0.08</v>
      </c>
      <c r="O9" s="4">
        <v>0.17</v>
      </c>
      <c r="P9" s="4">
        <v>8</v>
      </c>
      <c r="Q9" s="4">
        <v>0</v>
      </c>
      <c r="R9" s="4">
        <v>0</v>
      </c>
      <c r="S9" s="4">
        <v>0.499</v>
      </c>
      <c r="T9" s="4">
        <v>63</v>
      </c>
      <c r="U9" s="4">
        <v>23</v>
      </c>
    </row>
    <row r="10" spans="1:27" x14ac:dyDescent="0.15">
      <c r="A10" s="21"/>
      <c r="B10" s="23" t="s">
        <v>116</v>
      </c>
      <c r="C10" s="4">
        <v>77.5</v>
      </c>
      <c r="D10" s="4">
        <v>84</v>
      </c>
      <c r="E10" s="4">
        <v>17.899999999999999</v>
      </c>
      <c r="F10" s="4">
        <v>0.8</v>
      </c>
      <c r="G10" s="4">
        <v>3</v>
      </c>
      <c r="H10" s="4">
        <v>1180</v>
      </c>
      <c r="I10" s="4">
        <v>262</v>
      </c>
      <c r="J10" s="4">
        <v>276</v>
      </c>
      <c r="K10" s="4">
        <v>15</v>
      </c>
      <c r="L10" s="4">
        <v>2</v>
      </c>
      <c r="M10" s="4">
        <v>0</v>
      </c>
      <c r="N10" s="4">
        <v>0.3</v>
      </c>
      <c r="O10" s="4">
        <v>0.4</v>
      </c>
      <c r="P10" s="4">
        <v>5.5</v>
      </c>
      <c r="Q10" s="4">
        <v>0</v>
      </c>
      <c r="R10" s="4">
        <v>7</v>
      </c>
      <c r="S10" s="4">
        <v>0.9</v>
      </c>
      <c r="T10" s="4">
        <v>40</v>
      </c>
      <c r="U10" s="4">
        <v>19</v>
      </c>
    </row>
    <row r="11" spans="1:27" x14ac:dyDescent="0.15">
      <c r="A11" s="21"/>
      <c r="B11" s="23" t="s">
        <v>117</v>
      </c>
      <c r="C11" s="4">
        <v>70.5</v>
      </c>
      <c r="D11" s="4">
        <v>134</v>
      </c>
      <c r="E11" s="4">
        <v>20</v>
      </c>
      <c r="F11" s="4">
        <v>5</v>
      </c>
      <c r="G11" s="4">
        <v>4</v>
      </c>
      <c r="H11" s="4">
        <v>125</v>
      </c>
      <c r="I11" s="4">
        <v>320</v>
      </c>
      <c r="J11" s="4">
        <v>305</v>
      </c>
      <c r="K11" s="4">
        <v>9</v>
      </c>
      <c r="L11" s="4">
        <v>7</v>
      </c>
      <c r="M11" s="4">
        <v>25</v>
      </c>
      <c r="N11" s="4">
        <v>0.3</v>
      </c>
      <c r="O11" s="4">
        <v>3</v>
      </c>
      <c r="P11" s="4">
        <v>15</v>
      </c>
      <c r="Q11" s="4">
        <v>12.5</v>
      </c>
      <c r="R11" s="4">
        <v>12500</v>
      </c>
      <c r="S11" s="4">
        <v>0.65</v>
      </c>
      <c r="T11" s="4">
        <v>335</v>
      </c>
      <c r="U11" s="4">
        <v>20</v>
      </c>
    </row>
    <row r="12" spans="1:27" x14ac:dyDescent="0.15">
      <c r="A12" s="21"/>
      <c r="B12" s="23" t="s">
        <v>118</v>
      </c>
      <c r="C12" s="4">
        <v>68.7</v>
      </c>
      <c r="D12" s="4">
        <v>170</v>
      </c>
      <c r="E12" s="4">
        <v>20.7</v>
      </c>
      <c r="F12" s="4">
        <v>9.3000000000000007</v>
      </c>
      <c r="G12" s="4">
        <v>0.7</v>
      </c>
      <c r="H12" s="4">
        <v>910</v>
      </c>
      <c r="I12" s="4">
        <v>300</v>
      </c>
      <c r="J12" s="4">
        <v>180</v>
      </c>
      <c r="K12" s="4">
        <v>10</v>
      </c>
      <c r="L12" s="4">
        <v>2.2999999999999998</v>
      </c>
      <c r="M12" s="4">
        <v>0</v>
      </c>
      <c r="N12" s="4">
        <v>0.5</v>
      </c>
      <c r="O12" s="4">
        <v>0.2</v>
      </c>
      <c r="P12" s="4">
        <v>5</v>
      </c>
      <c r="Q12" s="4">
        <v>0</v>
      </c>
      <c r="R12" s="4">
        <v>0</v>
      </c>
      <c r="S12" s="4">
        <v>0.17899999999999999</v>
      </c>
      <c r="T12" s="4">
        <v>48</v>
      </c>
      <c r="U12" s="4">
        <v>21</v>
      </c>
    </row>
    <row r="13" spans="1:27" x14ac:dyDescent="0.15">
      <c r="A13" s="26"/>
      <c r="B13" s="23" t="s">
        <v>119</v>
      </c>
      <c r="C13" s="4">
        <v>63</v>
      </c>
      <c r="D13" s="4">
        <v>210</v>
      </c>
      <c r="E13" s="4">
        <v>22.5</v>
      </c>
      <c r="F13" s="4">
        <v>12.8</v>
      </c>
      <c r="G13" s="4">
        <v>0.4</v>
      </c>
      <c r="H13" s="4">
        <v>1200</v>
      </c>
      <c r="I13" s="4">
        <v>230</v>
      </c>
      <c r="J13" s="4">
        <v>190</v>
      </c>
      <c r="K13" s="4">
        <v>13</v>
      </c>
      <c r="L13" s="4">
        <v>2.2999999999999998</v>
      </c>
      <c r="M13" s="4">
        <v>0</v>
      </c>
      <c r="N13" s="4">
        <v>0.56999999999999995</v>
      </c>
      <c r="O13" s="4">
        <v>0.25</v>
      </c>
      <c r="P13" s="4">
        <v>5</v>
      </c>
      <c r="Q13" s="4">
        <v>0</v>
      </c>
      <c r="R13" s="4">
        <v>0</v>
      </c>
      <c r="S13" s="4">
        <v>2.59</v>
      </c>
      <c r="T13" s="4">
        <v>68</v>
      </c>
      <c r="U13" s="4">
        <v>22</v>
      </c>
    </row>
    <row r="14" spans="1:27" x14ac:dyDescent="0.15">
      <c r="A14" s="21"/>
      <c r="B14" s="23" t="s">
        <v>120</v>
      </c>
      <c r="C14" s="4">
        <v>48.8</v>
      </c>
      <c r="D14" s="4">
        <v>356</v>
      </c>
      <c r="E14" s="4">
        <v>21.2</v>
      </c>
      <c r="F14" s="4">
        <v>29.3</v>
      </c>
      <c r="G14" s="4">
        <v>1.9</v>
      </c>
      <c r="H14" s="4">
        <v>2100</v>
      </c>
      <c r="I14" s="4">
        <v>160</v>
      </c>
      <c r="J14" s="4">
        <v>200</v>
      </c>
      <c r="K14" s="4">
        <v>18</v>
      </c>
      <c r="L14" s="4">
        <v>2</v>
      </c>
      <c r="M14" s="4">
        <v>0</v>
      </c>
      <c r="N14" s="4">
        <v>0.33</v>
      </c>
      <c r="O14" s="4">
        <v>0.15</v>
      </c>
      <c r="P14" s="4">
        <v>5</v>
      </c>
      <c r="Q14" s="4">
        <v>0</v>
      </c>
      <c r="R14" s="4">
        <v>0</v>
      </c>
      <c r="S14" s="4">
        <v>1.85</v>
      </c>
      <c r="T14" s="4">
        <v>75</v>
      </c>
      <c r="U14" s="4">
        <v>14</v>
      </c>
    </row>
    <row r="15" spans="1:27" x14ac:dyDescent="0.15">
      <c r="A15" s="34"/>
      <c r="B15" s="23" t="s">
        <v>121</v>
      </c>
      <c r="C15" s="4">
        <v>49.3</v>
      </c>
      <c r="D15" s="4">
        <v>330</v>
      </c>
      <c r="E15" s="4">
        <v>15.2</v>
      </c>
      <c r="F15" s="4">
        <v>29.3</v>
      </c>
      <c r="G15" s="4">
        <v>1.3</v>
      </c>
      <c r="H15" s="4">
        <v>660</v>
      </c>
      <c r="I15" s="4">
        <v>185</v>
      </c>
      <c r="J15" s="4">
        <v>130</v>
      </c>
      <c r="K15" s="4">
        <v>14</v>
      </c>
      <c r="L15" s="4">
        <v>2</v>
      </c>
      <c r="M15" s="4">
        <v>0</v>
      </c>
      <c r="N15" s="4">
        <v>0.11</v>
      </c>
      <c r="O15" s="4">
        <v>0.15</v>
      </c>
      <c r="P15" s="4">
        <v>5</v>
      </c>
      <c r="Q15" s="4">
        <v>0</v>
      </c>
      <c r="R15" s="4">
        <v>0</v>
      </c>
      <c r="S15" s="4">
        <v>0.85</v>
      </c>
      <c r="T15" s="4">
        <v>75</v>
      </c>
      <c r="U15" s="4">
        <v>15</v>
      </c>
    </row>
    <row r="16" spans="1:27" x14ac:dyDescent="0.15">
      <c r="A16" s="35"/>
      <c r="B16" s="23" t="s">
        <v>122</v>
      </c>
      <c r="C16" s="4">
        <v>74.400000000000006</v>
      </c>
      <c r="D16" s="4">
        <v>100</v>
      </c>
      <c r="E16" s="4">
        <v>21.9</v>
      </c>
      <c r="F16" s="4">
        <v>1.4</v>
      </c>
      <c r="G16" s="4">
        <v>0</v>
      </c>
      <c r="H16" s="4">
        <v>63</v>
      </c>
      <c r="I16" s="4">
        <v>353</v>
      </c>
      <c r="J16" s="4">
        <v>210</v>
      </c>
      <c r="K16" s="4">
        <v>8</v>
      </c>
      <c r="L16" s="4">
        <v>0.7</v>
      </c>
      <c r="M16" s="4">
        <v>0</v>
      </c>
      <c r="N16" s="4">
        <v>7.0000000000000007E-2</v>
      </c>
      <c r="O16" s="4">
        <v>0.12</v>
      </c>
      <c r="P16" s="4">
        <v>7.9</v>
      </c>
      <c r="Q16" s="4">
        <v>0</v>
      </c>
      <c r="R16" s="4">
        <v>0</v>
      </c>
      <c r="S16" s="4">
        <v>0.65</v>
      </c>
      <c r="T16" s="4">
        <v>65</v>
      </c>
      <c r="U16" s="4">
        <v>32</v>
      </c>
    </row>
    <row r="17" spans="1:21" x14ac:dyDescent="0.15">
      <c r="A17" s="35"/>
      <c r="B17" s="23" t="s">
        <v>124</v>
      </c>
      <c r="C17" s="4">
        <v>51</v>
      </c>
      <c r="D17" s="4">
        <v>295</v>
      </c>
      <c r="E17" s="4">
        <v>23</v>
      </c>
      <c r="F17" s="4">
        <v>12</v>
      </c>
      <c r="G17" s="4">
        <v>1</v>
      </c>
      <c r="H17" s="4">
        <v>450</v>
      </c>
      <c r="I17" s="4">
        <v>310</v>
      </c>
      <c r="J17" s="4"/>
      <c r="K17" s="4"/>
      <c r="L17" s="4"/>
      <c r="M17" s="4"/>
      <c r="N17" s="4"/>
      <c r="O17" s="4"/>
      <c r="P17" s="4"/>
      <c r="Q17" s="4"/>
      <c r="R17" s="4"/>
      <c r="S17" s="4">
        <v>0.7</v>
      </c>
      <c r="T17" s="4">
        <v>75</v>
      </c>
      <c r="U17" s="4">
        <v>8</v>
      </c>
    </row>
    <row r="18" spans="1:21" ht="14" thickBot="1" x14ac:dyDescent="0.2">
      <c r="A18" s="59"/>
      <c r="B18" s="60" t="s">
        <v>125</v>
      </c>
      <c r="C18" s="61">
        <v>68</v>
      </c>
      <c r="D18" s="61">
        <v>152</v>
      </c>
      <c r="E18" s="61">
        <v>18</v>
      </c>
      <c r="F18" s="61">
        <v>8</v>
      </c>
      <c r="G18" s="61">
        <v>0</v>
      </c>
      <c r="H18" s="61">
        <v>475</v>
      </c>
      <c r="I18" s="61">
        <v>235</v>
      </c>
      <c r="J18" s="61"/>
      <c r="K18" s="61"/>
      <c r="L18" s="61"/>
      <c r="M18" s="61"/>
      <c r="N18" s="61"/>
      <c r="O18" s="61"/>
      <c r="P18" s="61"/>
      <c r="Q18" s="61"/>
      <c r="R18" s="61"/>
      <c r="S18" s="61">
        <v>0.7</v>
      </c>
      <c r="T18" s="61">
        <v>75</v>
      </c>
      <c r="U18" s="61">
        <v>8</v>
      </c>
    </row>
    <row r="19" spans="1:21" ht="14" thickBot="1" x14ac:dyDescent="0.2"/>
    <row r="20" spans="1:21" s="1" customFormat="1" x14ac:dyDescent="0.15">
      <c r="C20" s="17" t="s">
        <v>0</v>
      </c>
      <c r="D20" s="17" t="s">
        <v>1</v>
      </c>
      <c r="E20" s="17" t="s">
        <v>2</v>
      </c>
      <c r="F20" s="17" t="s">
        <v>3</v>
      </c>
      <c r="G20" s="17" t="s">
        <v>4</v>
      </c>
      <c r="H20" s="17" t="s">
        <v>5</v>
      </c>
      <c r="I20" s="17" t="s">
        <v>6</v>
      </c>
      <c r="J20" s="17" t="s">
        <v>7</v>
      </c>
      <c r="K20" s="17" t="s">
        <v>8</v>
      </c>
      <c r="L20" s="17" t="s">
        <v>13</v>
      </c>
      <c r="M20" s="17" t="s">
        <v>14</v>
      </c>
      <c r="N20" s="17" t="s">
        <v>15</v>
      </c>
      <c r="O20" s="17" t="s">
        <v>16</v>
      </c>
      <c r="P20" s="17" t="s">
        <v>17</v>
      </c>
      <c r="Q20" s="17" t="s">
        <v>18</v>
      </c>
      <c r="R20" s="17" t="s">
        <v>19</v>
      </c>
      <c r="S20" s="17" t="s">
        <v>44</v>
      </c>
      <c r="T20" s="17" t="s">
        <v>66</v>
      </c>
      <c r="U20" s="17" t="s">
        <v>70</v>
      </c>
    </row>
    <row r="21" spans="1:21" s="1" customFormat="1" ht="14" thickBot="1" x14ac:dyDescent="0.2">
      <c r="C21" s="18" t="s">
        <v>9</v>
      </c>
      <c r="D21" s="18" t="s">
        <v>10</v>
      </c>
      <c r="E21" s="18" t="s">
        <v>9</v>
      </c>
      <c r="F21" s="18" t="s">
        <v>9</v>
      </c>
      <c r="G21" s="18" t="s">
        <v>9</v>
      </c>
      <c r="H21" s="18" t="s">
        <v>12</v>
      </c>
      <c r="I21" s="18" t="s">
        <v>12</v>
      </c>
      <c r="J21" s="18" t="s">
        <v>12</v>
      </c>
      <c r="K21" s="18" t="s">
        <v>12</v>
      </c>
      <c r="L21" s="18" t="s">
        <v>12</v>
      </c>
      <c r="M21" s="18" t="s">
        <v>12</v>
      </c>
      <c r="N21" s="18" t="s">
        <v>12</v>
      </c>
      <c r="O21" s="18" t="s">
        <v>12</v>
      </c>
      <c r="P21" s="18" t="s">
        <v>12</v>
      </c>
      <c r="Q21" s="18" t="s">
        <v>20</v>
      </c>
      <c r="R21" s="18" t="s">
        <v>20</v>
      </c>
      <c r="S21" s="18" t="s">
        <v>46</v>
      </c>
      <c r="T21" s="18" t="s">
        <v>12</v>
      </c>
      <c r="U21" s="18" t="s">
        <v>12</v>
      </c>
    </row>
    <row r="22" spans="1:21" ht="17" thickBot="1" x14ac:dyDescent="0.25">
      <c r="A22" s="57" t="s">
        <v>92</v>
      </c>
      <c r="B22" s="19" t="s">
        <v>134</v>
      </c>
    </row>
    <row r="23" spans="1:21" x14ac:dyDescent="0.15">
      <c r="A23" s="25"/>
      <c r="B23" s="24" t="s">
        <v>126</v>
      </c>
      <c r="C23" s="4">
        <v>80</v>
      </c>
      <c r="D23" s="4">
        <v>89.6</v>
      </c>
      <c r="E23" s="4">
        <v>17.899999999999999</v>
      </c>
      <c r="F23" s="4">
        <v>2</v>
      </c>
      <c r="G23" s="4">
        <v>0</v>
      </c>
      <c r="H23" s="4">
        <v>100</v>
      </c>
      <c r="I23" s="4">
        <v>275</v>
      </c>
      <c r="J23" s="4">
        <v>190</v>
      </c>
      <c r="K23" s="4">
        <v>40</v>
      </c>
      <c r="L23" s="4">
        <v>1</v>
      </c>
      <c r="M23" s="4">
        <v>0</v>
      </c>
      <c r="N23" s="4">
        <v>0.09</v>
      </c>
      <c r="O23" s="4">
        <v>0.2</v>
      </c>
      <c r="P23" s="4">
        <v>5.5</v>
      </c>
      <c r="Q23" s="4">
        <v>0.01</v>
      </c>
      <c r="R23" s="4">
        <v>0.01</v>
      </c>
      <c r="S23" s="4">
        <v>0.69499999999999995</v>
      </c>
      <c r="T23" s="4">
        <v>50</v>
      </c>
      <c r="U23" s="4">
        <v>30</v>
      </c>
    </row>
    <row r="24" spans="1:21" x14ac:dyDescent="0.15">
      <c r="A24" s="26"/>
      <c r="B24" s="23" t="s">
        <v>127</v>
      </c>
      <c r="C24" s="4">
        <v>70</v>
      </c>
      <c r="D24" s="4">
        <v>170</v>
      </c>
      <c r="E24" s="4">
        <v>20</v>
      </c>
      <c r="F24" s="4">
        <v>10</v>
      </c>
      <c r="G24" s="4">
        <v>0</v>
      </c>
      <c r="H24" s="4">
        <v>78</v>
      </c>
      <c r="I24" s="4">
        <v>336</v>
      </c>
      <c r="J24" s="4">
        <v>300</v>
      </c>
      <c r="K24" s="4">
        <v>50</v>
      </c>
      <c r="L24" s="4">
        <v>1.2</v>
      </c>
      <c r="M24" s="4">
        <v>0</v>
      </c>
      <c r="N24" s="4">
        <v>0.05</v>
      </c>
      <c r="O24" s="4">
        <v>0.33</v>
      </c>
      <c r="P24" s="4">
        <v>6.4</v>
      </c>
      <c r="Q24" s="4">
        <v>0.01</v>
      </c>
      <c r="R24" s="4">
        <v>50</v>
      </c>
      <c r="S24" s="4">
        <v>0.79900000000000004</v>
      </c>
      <c r="T24" s="4">
        <v>50</v>
      </c>
      <c r="U24" s="4">
        <v>33</v>
      </c>
    </row>
    <row r="25" spans="1:21" x14ac:dyDescent="0.15">
      <c r="A25" s="21"/>
      <c r="B25" s="23" t="s">
        <v>128</v>
      </c>
      <c r="C25" s="4">
        <v>78</v>
      </c>
      <c r="D25" s="4">
        <v>90</v>
      </c>
      <c r="E25" s="4">
        <v>19.2</v>
      </c>
      <c r="F25" s="4">
        <v>1.3</v>
      </c>
      <c r="G25" s="4">
        <v>0</v>
      </c>
      <c r="H25" s="4">
        <v>366</v>
      </c>
      <c r="I25" s="4">
        <v>300</v>
      </c>
      <c r="J25" s="4">
        <v>250</v>
      </c>
      <c r="K25" s="4">
        <v>100</v>
      </c>
      <c r="L25" s="4">
        <v>1.5</v>
      </c>
      <c r="M25" s="4">
        <v>0</v>
      </c>
      <c r="N25" s="4">
        <v>0.01</v>
      </c>
      <c r="O25" s="4">
        <v>0.03</v>
      </c>
      <c r="P25" s="4">
        <v>2</v>
      </c>
      <c r="Q25" s="4">
        <v>0.01</v>
      </c>
      <c r="R25" s="4">
        <v>0.01</v>
      </c>
      <c r="S25" s="4">
        <v>1</v>
      </c>
      <c r="T25" s="4">
        <v>110</v>
      </c>
      <c r="U25" s="4">
        <v>29</v>
      </c>
    </row>
    <row r="26" spans="1:21" x14ac:dyDescent="0.15">
      <c r="A26" s="21"/>
      <c r="B26" s="23" t="s">
        <v>129</v>
      </c>
      <c r="C26" s="4">
        <v>71.400000000000006</v>
      </c>
      <c r="D26" s="4">
        <v>118</v>
      </c>
      <c r="E26" s="4">
        <v>20.2</v>
      </c>
      <c r="F26" s="4">
        <v>2.8</v>
      </c>
      <c r="G26" s="4">
        <v>3.1</v>
      </c>
      <c r="H26" s="4">
        <v>290</v>
      </c>
      <c r="I26" s="4">
        <v>290</v>
      </c>
      <c r="J26" s="4">
        <v>290</v>
      </c>
      <c r="K26" s="4">
        <v>100</v>
      </c>
      <c r="L26" s="4">
        <v>7.3</v>
      </c>
      <c r="M26" s="4">
        <v>0</v>
      </c>
      <c r="N26" s="4">
        <v>0.1</v>
      </c>
      <c r="O26" s="4">
        <v>0.11</v>
      </c>
      <c r="P26" s="4">
        <v>1</v>
      </c>
      <c r="Q26" s="4">
        <v>0.01</v>
      </c>
      <c r="R26" s="4">
        <v>84</v>
      </c>
      <c r="S26" s="4">
        <v>0.69499999999999995</v>
      </c>
      <c r="T26" s="4">
        <v>100</v>
      </c>
      <c r="U26" s="4">
        <v>32</v>
      </c>
    </row>
    <row r="27" spans="1:21" x14ac:dyDescent="0.15">
      <c r="A27" s="21"/>
      <c r="B27" s="23" t="s">
        <v>130</v>
      </c>
      <c r="C27" s="4">
        <v>64</v>
      </c>
      <c r="D27" s="4">
        <v>180</v>
      </c>
      <c r="E27" s="4">
        <v>26.5</v>
      </c>
      <c r="F27" s="4">
        <v>8</v>
      </c>
      <c r="G27" s="4">
        <v>0</v>
      </c>
      <c r="H27" s="4">
        <v>396</v>
      </c>
      <c r="I27" s="4">
        <v>333</v>
      </c>
      <c r="J27" s="4">
        <v>267</v>
      </c>
      <c r="K27" s="4">
        <v>4</v>
      </c>
      <c r="L27" s="4">
        <v>0.65</v>
      </c>
      <c r="M27" s="4">
        <v>0</v>
      </c>
      <c r="N27" s="4">
        <v>0.02</v>
      </c>
      <c r="O27" s="4">
        <v>0.08</v>
      </c>
      <c r="P27" s="4">
        <v>11.7</v>
      </c>
      <c r="Q27" s="4">
        <v>5</v>
      </c>
      <c r="R27" s="4">
        <v>62</v>
      </c>
      <c r="S27" s="4">
        <v>1.2</v>
      </c>
      <c r="T27" s="4">
        <v>31</v>
      </c>
      <c r="U27" s="4">
        <v>30</v>
      </c>
    </row>
    <row r="28" spans="1:21" x14ac:dyDescent="0.15">
      <c r="A28" s="21"/>
      <c r="B28" s="23" t="s">
        <v>131</v>
      </c>
      <c r="C28" s="4">
        <v>62.8</v>
      </c>
      <c r="D28" s="4">
        <v>221</v>
      </c>
      <c r="E28" s="4">
        <v>23.99</v>
      </c>
      <c r="F28" s="4">
        <v>13.9</v>
      </c>
      <c r="G28" s="4">
        <v>0</v>
      </c>
      <c r="H28" s="4">
        <v>465</v>
      </c>
      <c r="I28" s="4">
        <v>380</v>
      </c>
      <c r="J28" s="4">
        <v>494</v>
      </c>
      <c r="K28" s="4">
        <v>314</v>
      </c>
      <c r="L28" s="4">
        <v>2.9</v>
      </c>
      <c r="M28" s="4">
        <v>0</v>
      </c>
      <c r="N28" s="4">
        <v>0.03</v>
      </c>
      <c r="O28" s="4">
        <v>0.3</v>
      </c>
      <c r="P28" s="4">
        <v>8.1</v>
      </c>
      <c r="Q28" s="4">
        <v>5.5</v>
      </c>
      <c r="R28" s="4">
        <v>10</v>
      </c>
      <c r="S28" s="4">
        <v>0.8</v>
      </c>
      <c r="T28" s="4">
        <v>72</v>
      </c>
      <c r="U28" s="4">
        <v>49.3</v>
      </c>
    </row>
    <row r="29" spans="1:21" x14ac:dyDescent="0.15">
      <c r="A29" s="21"/>
      <c r="B29" s="23" t="s">
        <v>132</v>
      </c>
      <c r="C29" s="4">
        <v>69</v>
      </c>
      <c r="D29" s="4">
        <v>108</v>
      </c>
      <c r="E29" s="4">
        <v>25</v>
      </c>
      <c r="F29" s="4">
        <v>1</v>
      </c>
      <c r="G29" s="4">
        <v>0</v>
      </c>
      <c r="H29" s="4">
        <v>368</v>
      </c>
      <c r="I29" s="4">
        <v>254</v>
      </c>
      <c r="J29" s="4">
        <v>176</v>
      </c>
      <c r="K29" s="4">
        <v>9</v>
      </c>
      <c r="L29" s="4">
        <v>1.3</v>
      </c>
      <c r="M29" s="4">
        <v>0</v>
      </c>
      <c r="N29" s="4">
        <v>0.02</v>
      </c>
      <c r="O29" s="4">
        <v>0.09</v>
      </c>
      <c r="P29" s="4">
        <v>12.8</v>
      </c>
      <c r="Q29" s="4">
        <v>0</v>
      </c>
      <c r="R29" s="4">
        <v>26</v>
      </c>
      <c r="S29" s="4">
        <v>1.2</v>
      </c>
      <c r="T29" s="4">
        <v>53</v>
      </c>
      <c r="U29" s="4">
        <v>28</v>
      </c>
    </row>
    <row r="30" spans="1:21" x14ac:dyDescent="0.15">
      <c r="A30" s="21"/>
      <c r="B30" s="23" t="s">
        <v>133</v>
      </c>
      <c r="C30" s="4">
        <v>83.8</v>
      </c>
      <c r="D30" s="4">
        <v>80</v>
      </c>
      <c r="E30" s="4">
        <v>13.4</v>
      </c>
      <c r="F30" s="4">
        <v>1.2</v>
      </c>
      <c r="G30" s="4">
        <v>0</v>
      </c>
      <c r="H30" s="4">
        <v>110</v>
      </c>
      <c r="I30" s="4">
        <v>200</v>
      </c>
      <c r="J30" s="4">
        <v>107</v>
      </c>
      <c r="K30" s="4">
        <v>36.700000000000003</v>
      </c>
      <c r="L30" s="4">
        <v>0.21</v>
      </c>
      <c r="M30" s="4">
        <v>0</v>
      </c>
      <c r="N30" s="4">
        <v>0.04</v>
      </c>
      <c r="O30" s="4">
        <v>0.04</v>
      </c>
      <c r="P30" s="4">
        <v>0.35</v>
      </c>
      <c r="Q30" s="4">
        <v>0.01</v>
      </c>
      <c r="R30" s="4">
        <v>0.01</v>
      </c>
      <c r="S30" s="4">
        <v>0.44</v>
      </c>
      <c r="T30" s="4">
        <v>29.8</v>
      </c>
      <c r="U30" s="4">
        <v>17.600000000000001</v>
      </c>
    </row>
    <row r="31" spans="1:21" x14ac:dyDescent="0.15">
      <c r="A31" s="21"/>
      <c r="B31" s="4" t="s">
        <v>231</v>
      </c>
      <c r="C31" s="4">
        <v>69.599999999999994</v>
      </c>
      <c r="D31" s="4">
        <v>182</v>
      </c>
      <c r="E31" s="4">
        <v>18.399999999999999</v>
      </c>
      <c r="F31" s="4">
        <v>12</v>
      </c>
      <c r="G31" s="4">
        <v>0</v>
      </c>
      <c r="H31" s="4">
        <v>98</v>
      </c>
      <c r="I31" s="4">
        <v>310</v>
      </c>
      <c r="J31" s="4">
        <v>250</v>
      </c>
      <c r="K31" s="4">
        <v>27</v>
      </c>
      <c r="L31" s="4">
        <v>0.7</v>
      </c>
      <c r="M31" s="4">
        <v>0</v>
      </c>
      <c r="N31" s="4">
        <v>0.2</v>
      </c>
      <c r="O31" s="4">
        <v>0.15</v>
      </c>
      <c r="P31" s="4">
        <v>10.4</v>
      </c>
      <c r="Q31" s="4">
        <v>0.01</v>
      </c>
      <c r="R31" s="4">
        <v>50</v>
      </c>
      <c r="S31" s="4">
        <v>1.25</v>
      </c>
      <c r="T31" s="4">
        <v>50</v>
      </c>
      <c r="U31" s="4">
        <v>26</v>
      </c>
    </row>
    <row r="32" spans="1:21" x14ac:dyDescent="0.15">
      <c r="A32" s="21"/>
      <c r="B32" s="4"/>
      <c r="C32" s="4"/>
      <c r="D32" s="4"/>
      <c r="E32" s="4"/>
      <c r="F32" s="4"/>
      <c r="G32" s="4"/>
      <c r="H32" s="4"/>
      <c r="I32" s="4"/>
      <c r="J32" s="4"/>
      <c r="K32" s="4"/>
      <c r="L32" s="4"/>
      <c r="M32" s="4"/>
      <c r="N32" s="4"/>
      <c r="O32" s="4"/>
      <c r="P32" s="4"/>
      <c r="Q32" s="4"/>
      <c r="R32" s="4"/>
      <c r="S32" s="4"/>
      <c r="T32" s="4"/>
      <c r="U32" s="4"/>
    </row>
    <row r="33" spans="1:21" x14ac:dyDescent="0.15">
      <c r="A33" s="21"/>
      <c r="B33" s="4"/>
      <c r="C33" s="4"/>
      <c r="D33" s="4"/>
      <c r="E33" s="4"/>
      <c r="F33" s="4"/>
      <c r="G33" s="4"/>
      <c r="H33" s="4"/>
      <c r="I33" s="4"/>
      <c r="J33" s="4"/>
      <c r="K33" s="4"/>
      <c r="L33" s="4"/>
      <c r="M33" s="4"/>
      <c r="N33" s="4"/>
      <c r="O33" s="4"/>
      <c r="P33" s="4"/>
      <c r="Q33" s="4"/>
      <c r="R33" s="4"/>
      <c r="S33" s="4"/>
      <c r="T33" s="4"/>
      <c r="U33" s="4"/>
    </row>
    <row r="34" spans="1:21" ht="14" thickBot="1" x14ac:dyDescent="0.2">
      <c r="A34" s="22"/>
      <c r="B34" s="61"/>
      <c r="C34" s="61"/>
      <c r="D34" s="61"/>
      <c r="E34" s="61"/>
      <c r="F34" s="61"/>
      <c r="G34" s="61"/>
      <c r="H34" s="61"/>
      <c r="I34" s="61"/>
      <c r="J34" s="61"/>
      <c r="K34" s="61"/>
      <c r="L34" s="61"/>
      <c r="M34" s="61"/>
      <c r="N34" s="61"/>
      <c r="O34" s="61"/>
      <c r="P34" s="61"/>
      <c r="Q34" s="61"/>
      <c r="R34" s="61"/>
      <c r="S34" s="61"/>
      <c r="T34" s="61"/>
      <c r="U34" s="61"/>
    </row>
  </sheetData>
  <phoneticPr fontId="0" type="noConversion"/>
  <pageMargins left="0.75" right="0.75" top="1" bottom="1" header="0" footer="0"/>
  <pageSetup paperSize="9" orientation="portrait" horizontalDpi="180" verticalDpi="180"/>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1"/>
  <sheetViews>
    <sheetView zoomScale="90" zoomScaleNormal="90" zoomScalePageLayoutView="90" workbookViewId="0">
      <selection activeCell="B40" sqref="B40"/>
    </sheetView>
  </sheetViews>
  <sheetFormatPr baseColWidth="10" defaultRowHeight="13" x14ac:dyDescent="0.15"/>
  <cols>
    <col min="2" max="2" width="65.6640625" customWidth="1"/>
    <col min="19" max="21" width="16.6640625" customWidth="1"/>
  </cols>
  <sheetData>
    <row r="1" spans="1:21" s="1" customFormat="1" x14ac:dyDescent="0.15">
      <c r="C1" s="17" t="s">
        <v>0</v>
      </c>
      <c r="D1" s="17" t="s">
        <v>1</v>
      </c>
      <c r="E1" s="17" t="s">
        <v>2</v>
      </c>
      <c r="F1" s="17" t="s">
        <v>3</v>
      </c>
      <c r="G1" s="17" t="s">
        <v>4</v>
      </c>
      <c r="H1" s="17" t="s">
        <v>5</v>
      </c>
      <c r="I1" s="17" t="s">
        <v>6</v>
      </c>
      <c r="J1" s="17" t="s">
        <v>7</v>
      </c>
      <c r="K1" s="17" t="s">
        <v>8</v>
      </c>
      <c r="L1" s="17" t="s">
        <v>13</v>
      </c>
      <c r="M1" s="17" t="s">
        <v>14</v>
      </c>
      <c r="N1" s="17" t="s">
        <v>15</v>
      </c>
      <c r="O1" s="17" t="s">
        <v>16</v>
      </c>
      <c r="P1" s="17" t="s">
        <v>17</v>
      </c>
      <c r="Q1" s="17" t="s">
        <v>18</v>
      </c>
      <c r="R1" s="17" t="s">
        <v>19</v>
      </c>
      <c r="S1" s="17" t="s">
        <v>44</v>
      </c>
      <c r="T1" s="17" t="s">
        <v>66</v>
      </c>
      <c r="U1" s="17" t="s">
        <v>70</v>
      </c>
    </row>
    <row r="2" spans="1:21" s="1" customFormat="1" ht="14" thickBot="1" x14ac:dyDescent="0.2">
      <c r="C2" s="18" t="s">
        <v>9</v>
      </c>
      <c r="D2" s="18" t="s">
        <v>10</v>
      </c>
      <c r="E2" s="18" t="s">
        <v>9</v>
      </c>
      <c r="F2" s="18" t="s">
        <v>11</v>
      </c>
      <c r="G2" s="18" t="s">
        <v>9</v>
      </c>
      <c r="H2" s="18" t="s">
        <v>12</v>
      </c>
      <c r="I2" s="18" t="s">
        <v>12</v>
      </c>
      <c r="J2" s="18" t="s">
        <v>12</v>
      </c>
      <c r="K2" s="18" t="s">
        <v>12</v>
      </c>
      <c r="L2" s="18" t="s">
        <v>12</v>
      </c>
      <c r="M2" s="18" t="s">
        <v>12</v>
      </c>
      <c r="N2" s="18" t="s">
        <v>12</v>
      </c>
      <c r="O2" s="18" t="s">
        <v>12</v>
      </c>
      <c r="P2" s="18" t="s">
        <v>12</v>
      </c>
      <c r="Q2" s="18" t="s">
        <v>20</v>
      </c>
      <c r="R2" s="18" t="s">
        <v>20</v>
      </c>
      <c r="S2" s="18" t="s">
        <v>46</v>
      </c>
      <c r="T2" s="18" t="s">
        <v>12</v>
      </c>
      <c r="U2" s="18" t="s">
        <v>12</v>
      </c>
    </row>
    <row r="3" spans="1:21" ht="17" thickBot="1" x14ac:dyDescent="0.25">
      <c r="A3" s="57" t="s">
        <v>92</v>
      </c>
      <c r="B3" s="19" t="s">
        <v>226</v>
      </c>
    </row>
    <row r="4" spans="1:21" x14ac:dyDescent="0.15">
      <c r="A4" s="25">
        <v>90</v>
      </c>
      <c r="B4" s="24" t="s">
        <v>230</v>
      </c>
      <c r="C4" s="4">
        <v>75</v>
      </c>
      <c r="D4" s="4">
        <v>162</v>
      </c>
      <c r="E4" s="4">
        <v>12.7</v>
      </c>
      <c r="F4" s="4">
        <v>12.1</v>
      </c>
      <c r="G4" s="4">
        <v>0.7</v>
      </c>
      <c r="H4" s="4">
        <v>130</v>
      </c>
      <c r="I4" s="4">
        <v>130</v>
      </c>
      <c r="J4" s="4">
        <v>200</v>
      </c>
      <c r="K4" s="4">
        <v>56</v>
      </c>
      <c r="L4" s="4">
        <v>2.2000000000000002</v>
      </c>
      <c r="M4" s="4">
        <v>0</v>
      </c>
      <c r="N4" s="4">
        <v>0.11</v>
      </c>
      <c r="O4" s="4">
        <v>0.32</v>
      </c>
      <c r="P4" s="4">
        <v>0.1</v>
      </c>
      <c r="Q4" s="4">
        <v>40</v>
      </c>
      <c r="R4" s="4">
        <v>200</v>
      </c>
      <c r="S4" s="4">
        <v>0.25</v>
      </c>
      <c r="T4" s="4">
        <v>400</v>
      </c>
      <c r="U4" s="4">
        <v>12</v>
      </c>
    </row>
    <row r="5" spans="1:21" x14ac:dyDescent="0.15">
      <c r="A5" s="26">
        <v>300</v>
      </c>
      <c r="B5" s="23" t="s">
        <v>135</v>
      </c>
      <c r="C5" s="4">
        <v>87.9</v>
      </c>
      <c r="D5" s="4">
        <v>46</v>
      </c>
      <c r="E5" s="4">
        <v>10.3</v>
      </c>
      <c r="F5" s="4">
        <v>0.1</v>
      </c>
      <c r="G5" s="4">
        <v>0.9</v>
      </c>
      <c r="H5" s="4">
        <v>150</v>
      </c>
      <c r="I5" s="4">
        <v>140</v>
      </c>
      <c r="J5" s="4">
        <v>18</v>
      </c>
      <c r="K5" s="4">
        <v>10</v>
      </c>
      <c r="L5" s="4">
        <v>0.1</v>
      </c>
      <c r="M5" s="4">
        <v>0</v>
      </c>
      <c r="N5" s="4">
        <v>0.01</v>
      </c>
      <c r="O5" s="4">
        <v>0.36</v>
      </c>
      <c r="P5" s="4">
        <v>0.1</v>
      </c>
      <c r="Q5" s="4">
        <v>0</v>
      </c>
      <c r="R5" s="4">
        <v>0</v>
      </c>
      <c r="S5" s="4">
        <v>0.34</v>
      </c>
      <c r="T5" s="4">
        <v>0</v>
      </c>
      <c r="U5" s="4">
        <v>10</v>
      </c>
    </row>
    <row r="6" spans="1:21" x14ac:dyDescent="0.15">
      <c r="A6" s="21"/>
      <c r="B6" s="23" t="s">
        <v>136</v>
      </c>
      <c r="C6" s="4">
        <v>50</v>
      </c>
      <c r="D6" s="4">
        <v>361</v>
      </c>
      <c r="E6" s="4">
        <v>16</v>
      </c>
      <c r="F6" s="4">
        <v>32.799999999999997</v>
      </c>
      <c r="G6" s="4">
        <v>0.4</v>
      </c>
      <c r="H6" s="4">
        <v>55</v>
      </c>
      <c r="I6" s="4">
        <v>110</v>
      </c>
      <c r="J6" s="4">
        <v>535</v>
      </c>
      <c r="K6" s="4">
        <v>135</v>
      </c>
      <c r="L6" s="4">
        <v>6</v>
      </c>
      <c r="M6" s="4">
        <v>0</v>
      </c>
      <c r="N6" s="4">
        <v>0.3</v>
      </c>
      <c r="O6" s="4">
        <v>0.45</v>
      </c>
      <c r="P6" s="4">
        <v>0.06</v>
      </c>
      <c r="Q6" s="4">
        <v>124</v>
      </c>
      <c r="R6" s="4">
        <v>570</v>
      </c>
      <c r="S6" s="4">
        <v>0.3</v>
      </c>
      <c r="T6" s="4">
        <v>1100</v>
      </c>
      <c r="U6" s="4">
        <v>15</v>
      </c>
    </row>
    <row r="7" spans="1:21" x14ac:dyDescent="0.15">
      <c r="A7" s="21"/>
      <c r="B7" s="23" t="s">
        <v>137</v>
      </c>
      <c r="C7" s="4">
        <v>70</v>
      </c>
      <c r="D7" s="4">
        <v>131</v>
      </c>
      <c r="E7" s="4">
        <v>4.8</v>
      </c>
      <c r="F7" s="4">
        <v>3.4</v>
      </c>
      <c r="G7" s="4">
        <v>20.399999999999999</v>
      </c>
      <c r="H7" s="4">
        <v>63</v>
      </c>
      <c r="I7" s="4">
        <v>122</v>
      </c>
      <c r="J7" s="4">
        <v>107</v>
      </c>
      <c r="K7" s="4">
        <v>91</v>
      </c>
      <c r="L7" s="4">
        <v>0.7</v>
      </c>
      <c r="M7" s="4">
        <v>0</v>
      </c>
      <c r="N7" s="4">
        <v>0.05</v>
      </c>
      <c r="O7" s="4">
        <v>0.17</v>
      </c>
      <c r="P7" s="4">
        <v>0.43</v>
      </c>
      <c r="Q7" s="4">
        <v>20</v>
      </c>
      <c r="R7" s="4">
        <v>92</v>
      </c>
      <c r="S7" s="4">
        <v>0.1</v>
      </c>
      <c r="T7" s="4">
        <v>100</v>
      </c>
      <c r="U7" s="4">
        <v>13</v>
      </c>
    </row>
    <row r="8" spans="1:21" ht="14" thickBot="1" x14ac:dyDescent="0.2">
      <c r="A8" s="21"/>
      <c r="B8" s="23"/>
      <c r="C8" s="4"/>
      <c r="D8" s="4"/>
      <c r="E8" s="4"/>
      <c r="F8" s="4"/>
      <c r="G8" s="4"/>
      <c r="H8" s="4"/>
      <c r="I8" s="4"/>
      <c r="J8" s="4"/>
      <c r="K8" s="4"/>
      <c r="L8" s="4"/>
      <c r="M8" s="4"/>
      <c r="N8" s="4"/>
      <c r="O8" s="4"/>
      <c r="P8" s="4"/>
      <c r="Q8" s="4"/>
      <c r="R8" s="4"/>
      <c r="S8" s="4">
        <v>2.2000000000000002</v>
      </c>
      <c r="T8" s="4">
        <v>0</v>
      </c>
      <c r="U8" s="4">
        <v>0</v>
      </c>
    </row>
    <row r="9" spans="1:21" ht="17" thickBot="1" x14ac:dyDescent="0.25">
      <c r="A9" s="58"/>
      <c r="B9" s="19" t="s">
        <v>227</v>
      </c>
      <c r="C9" s="23"/>
      <c r="D9" s="4"/>
      <c r="E9" s="4"/>
      <c r="F9" s="4"/>
      <c r="G9" s="4"/>
      <c r="H9" s="4"/>
      <c r="I9" s="4"/>
      <c r="J9" s="4"/>
      <c r="K9" s="4"/>
      <c r="L9" s="4"/>
      <c r="M9" s="4"/>
      <c r="N9" s="4"/>
      <c r="O9" s="4"/>
      <c r="P9" s="4"/>
      <c r="Q9" s="4"/>
      <c r="R9" s="4"/>
      <c r="S9" s="4">
        <v>1.5</v>
      </c>
      <c r="T9" s="4">
        <v>0</v>
      </c>
      <c r="U9" s="4">
        <v>0</v>
      </c>
    </row>
    <row r="10" spans="1:21" x14ac:dyDescent="0.15">
      <c r="A10" s="21"/>
      <c r="B10" s="23" t="s">
        <v>140</v>
      </c>
      <c r="C10" s="4">
        <v>10</v>
      </c>
      <c r="D10" s="4">
        <v>386</v>
      </c>
      <c r="E10" s="4">
        <v>76.7</v>
      </c>
      <c r="F10" s="4">
        <v>4.9000000000000004</v>
      </c>
      <c r="G10" s="4">
        <v>8.3000000000000007</v>
      </c>
      <c r="H10" s="4">
        <v>180</v>
      </c>
      <c r="I10" s="4"/>
      <c r="J10" s="4"/>
      <c r="K10" s="4"/>
      <c r="L10" s="4"/>
      <c r="M10" s="4"/>
      <c r="N10" s="4"/>
      <c r="O10" s="4"/>
      <c r="P10" s="4"/>
      <c r="Q10" s="4"/>
      <c r="R10" s="4"/>
      <c r="S10" s="4">
        <v>2.2000000000000002</v>
      </c>
      <c r="T10" s="4">
        <v>100</v>
      </c>
      <c r="U10" s="4"/>
    </row>
    <row r="11" spans="1:21" x14ac:dyDescent="0.15">
      <c r="A11" s="21"/>
      <c r="B11" s="23" t="s">
        <v>138</v>
      </c>
      <c r="C11" s="23"/>
      <c r="D11" s="4">
        <v>380</v>
      </c>
      <c r="E11" s="4">
        <v>0</v>
      </c>
      <c r="F11" s="4">
        <v>0</v>
      </c>
      <c r="G11" s="4">
        <v>95</v>
      </c>
      <c r="H11" s="4"/>
      <c r="I11" s="4"/>
      <c r="J11" s="4"/>
      <c r="K11" s="4"/>
      <c r="L11" s="4"/>
      <c r="M11" s="4"/>
      <c r="N11" s="4"/>
      <c r="O11" s="4"/>
      <c r="P11" s="4"/>
      <c r="Q11" s="4"/>
      <c r="R11" s="4"/>
      <c r="S11" s="4">
        <v>1.1000000000000001</v>
      </c>
      <c r="T11" s="4"/>
      <c r="U11" s="4"/>
    </row>
    <row r="12" spans="1:21" x14ac:dyDescent="0.15">
      <c r="A12" s="21">
        <v>35</v>
      </c>
      <c r="B12" s="23" t="s">
        <v>139</v>
      </c>
      <c r="C12" s="4">
        <v>8</v>
      </c>
      <c r="D12" s="4">
        <v>369.6</v>
      </c>
      <c r="E12" s="4">
        <v>88.5</v>
      </c>
      <c r="F12" s="4">
        <v>1.8</v>
      </c>
      <c r="G12" s="4">
        <v>1.7</v>
      </c>
      <c r="H12" s="4">
        <v>304.5</v>
      </c>
      <c r="I12" s="4"/>
      <c r="J12" s="4"/>
      <c r="K12" s="4"/>
      <c r="L12" s="4"/>
      <c r="M12" s="4"/>
      <c r="N12" s="4"/>
      <c r="O12" s="4"/>
      <c r="P12" s="4"/>
      <c r="Q12" s="4"/>
      <c r="R12" s="4"/>
      <c r="S12" s="4">
        <v>3.5</v>
      </c>
      <c r="T12" s="4"/>
      <c r="U12" s="4"/>
    </row>
    <row r="13" spans="1:21" ht="14" thickBot="1" x14ac:dyDescent="0.2">
      <c r="A13" s="22"/>
      <c r="B13" s="62" t="s">
        <v>229</v>
      </c>
      <c r="C13" s="61">
        <v>7</v>
      </c>
      <c r="D13" s="61">
        <v>381</v>
      </c>
      <c r="E13" s="61">
        <v>28</v>
      </c>
      <c r="F13" s="61">
        <v>1.4</v>
      </c>
      <c r="G13" s="61">
        <v>63</v>
      </c>
      <c r="H13" s="61">
        <v>0</v>
      </c>
      <c r="I13" s="61">
        <v>0</v>
      </c>
      <c r="J13" s="61">
        <v>0</v>
      </c>
      <c r="K13" s="61">
        <v>0</v>
      </c>
      <c r="L13" s="60">
        <v>3</v>
      </c>
      <c r="M13" s="61">
        <v>0</v>
      </c>
      <c r="N13" s="61">
        <v>0.35</v>
      </c>
      <c r="O13" s="61">
        <v>0.4</v>
      </c>
      <c r="P13" s="61">
        <v>4.5</v>
      </c>
      <c r="Q13" s="61">
        <v>0</v>
      </c>
      <c r="R13" s="61">
        <v>0</v>
      </c>
      <c r="S13" s="61">
        <v>2</v>
      </c>
      <c r="T13" s="61">
        <v>0</v>
      </c>
      <c r="U13" s="61">
        <v>3.62</v>
      </c>
    </row>
    <row r="14" spans="1:21" ht="14" thickBot="1" x14ac:dyDescent="0.2"/>
    <row r="15" spans="1:21" s="1" customFormat="1" x14ac:dyDescent="0.15">
      <c r="C15" s="17" t="s">
        <v>0</v>
      </c>
      <c r="D15" s="17" t="s">
        <v>1</v>
      </c>
      <c r="E15" s="17" t="s">
        <v>2</v>
      </c>
      <c r="F15" s="17" t="s">
        <v>3</v>
      </c>
      <c r="G15" s="17" t="s">
        <v>4</v>
      </c>
      <c r="H15" s="17" t="s">
        <v>5</v>
      </c>
      <c r="I15" s="17" t="s">
        <v>6</v>
      </c>
      <c r="J15" s="17" t="s">
        <v>7</v>
      </c>
      <c r="K15" s="17" t="s">
        <v>8</v>
      </c>
      <c r="L15" s="17" t="s">
        <v>13</v>
      </c>
      <c r="M15" s="17" t="s">
        <v>14</v>
      </c>
      <c r="N15" s="17" t="s">
        <v>15</v>
      </c>
      <c r="O15" s="17" t="s">
        <v>16</v>
      </c>
      <c r="P15" s="17" t="s">
        <v>17</v>
      </c>
      <c r="Q15" s="17" t="s">
        <v>18</v>
      </c>
      <c r="R15" s="17" t="s">
        <v>19</v>
      </c>
      <c r="S15" s="17" t="s">
        <v>44</v>
      </c>
      <c r="T15" s="17" t="s">
        <v>66</v>
      </c>
      <c r="U15" s="17" t="s">
        <v>70</v>
      </c>
    </row>
    <row r="16" spans="1:21" s="1" customFormat="1" ht="14" thickBot="1" x14ac:dyDescent="0.2">
      <c r="C16" s="18" t="s">
        <v>9</v>
      </c>
      <c r="D16" s="18" t="s">
        <v>10</v>
      </c>
      <c r="E16" s="18" t="s">
        <v>9</v>
      </c>
      <c r="F16" s="18" t="s">
        <v>11</v>
      </c>
      <c r="G16" s="18" t="s">
        <v>9</v>
      </c>
      <c r="H16" s="18" t="s">
        <v>12</v>
      </c>
      <c r="I16" s="18" t="s">
        <v>12</v>
      </c>
      <c r="J16" s="18" t="s">
        <v>12</v>
      </c>
      <c r="K16" s="18" t="s">
        <v>12</v>
      </c>
      <c r="L16" s="18" t="s">
        <v>12</v>
      </c>
      <c r="M16" s="18" t="s">
        <v>12</v>
      </c>
      <c r="N16" s="18" t="s">
        <v>12</v>
      </c>
      <c r="O16" s="18" t="s">
        <v>12</v>
      </c>
      <c r="P16" s="18" t="s">
        <v>12</v>
      </c>
      <c r="Q16" s="18" t="s">
        <v>20</v>
      </c>
      <c r="R16" s="18" t="s">
        <v>20</v>
      </c>
      <c r="S16" s="18" t="s">
        <v>46</v>
      </c>
      <c r="T16" s="18" t="s">
        <v>12</v>
      </c>
      <c r="U16" s="18" t="s">
        <v>12</v>
      </c>
    </row>
    <row r="17" spans="1:21" ht="17" thickBot="1" x14ac:dyDescent="0.25">
      <c r="A17" s="57" t="s">
        <v>92</v>
      </c>
      <c r="B17" s="19" t="s">
        <v>228</v>
      </c>
    </row>
    <row r="18" spans="1:21" x14ac:dyDescent="0.15">
      <c r="A18" s="20"/>
      <c r="B18" s="24" t="s">
        <v>141</v>
      </c>
      <c r="C18" s="4">
        <v>88</v>
      </c>
      <c r="D18" s="4">
        <v>65</v>
      </c>
      <c r="E18" s="4">
        <v>3.1</v>
      </c>
      <c r="F18" s="4">
        <v>3.8</v>
      </c>
      <c r="G18" s="4">
        <v>4.7</v>
      </c>
      <c r="H18" s="4">
        <v>45</v>
      </c>
      <c r="I18" s="4">
        <v>148</v>
      </c>
      <c r="J18" s="4">
        <v>86</v>
      </c>
      <c r="K18" s="4">
        <v>124</v>
      </c>
      <c r="L18" s="4">
        <v>0.1</v>
      </c>
      <c r="M18" s="4">
        <v>1</v>
      </c>
      <c r="N18" s="4">
        <v>0.04</v>
      </c>
      <c r="O18" s="4">
        <v>0.17</v>
      </c>
      <c r="P18" s="4">
        <v>0.18</v>
      </c>
      <c r="Q18" s="4">
        <v>18</v>
      </c>
      <c r="R18" s="4">
        <v>39</v>
      </c>
      <c r="S18" s="4">
        <v>0.08</v>
      </c>
      <c r="T18" s="4">
        <v>14</v>
      </c>
      <c r="U18" s="4">
        <v>11</v>
      </c>
    </row>
    <row r="19" spans="1:21" x14ac:dyDescent="0.15">
      <c r="A19" s="56"/>
      <c r="B19" s="24" t="s">
        <v>153</v>
      </c>
      <c r="C19" s="4">
        <v>89</v>
      </c>
      <c r="D19" s="4">
        <v>47</v>
      </c>
      <c r="E19" s="4">
        <v>3</v>
      </c>
      <c r="F19" s="4">
        <v>2</v>
      </c>
      <c r="G19" s="4">
        <v>5</v>
      </c>
      <c r="H19" s="4">
        <v>46</v>
      </c>
      <c r="I19" s="4">
        <v>166</v>
      </c>
      <c r="J19" s="4">
        <v>85</v>
      </c>
      <c r="K19" s="4">
        <v>120</v>
      </c>
      <c r="L19" s="4">
        <v>0.1</v>
      </c>
      <c r="M19" s="4">
        <v>1</v>
      </c>
      <c r="N19" s="4">
        <v>0.05</v>
      </c>
      <c r="O19" s="4">
        <v>0.18</v>
      </c>
      <c r="P19" s="4">
        <v>0.1</v>
      </c>
      <c r="Q19" s="4">
        <v>10</v>
      </c>
      <c r="R19" s="4">
        <v>18</v>
      </c>
      <c r="S19" s="4">
        <v>0.08</v>
      </c>
      <c r="T19" s="4">
        <v>7</v>
      </c>
      <c r="U19" s="4">
        <v>11</v>
      </c>
    </row>
    <row r="20" spans="1:21" x14ac:dyDescent="0.15">
      <c r="A20" s="21"/>
      <c r="B20" s="23" t="s">
        <v>142</v>
      </c>
      <c r="C20" s="4">
        <v>91</v>
      </c>
      <c r="D20" s="4">
        <v>34</v>
      </c>
      <c r="E20" s="4">
        <v>3.2</v>
      </c>
      <c r="F20" s="4">
        <v>0.2</v>
      </c>
      <c r="G20" s="4">
        <v>4.8</v>
      </c>
      <c r="H20" s="4">
        <v>48</v>
      </c>
      <c r="I20" s="4">
        <v>160</v>
      </c>
      <c r="J20" s="4">
        <v>90</v>
      </c>
      <c r="K20" s="4">
        <v>115</v>
      </c>
      <c r="L20" s="4">
        <v>0.1</v>
      </c>
      <c r="M20" s="4">
        <v>1</v>
      </c>
      <c r="N20" s="4">
        <v>0.04</v>
      </c>
      <c r="O20" s="4">
        <v>0.17</v>
      </c>
      <c r="P20" s="4">
        <v>0.1</v>
      </c>
      <c r="Q20" s="4">
        <v>0</v>
      </c>
      <c r="R20" s="4">
        <v>0</v>
      </c>
      <c r="S20" s="4">
        <v>0.08</v>
      </c>
      <c r="T20" s="4">
        <v>2</v>
      </c>
      <c r="U20" s="4">
        <v>10</v>
      </c>
    </row>
    <row r="21" spans="1:21" x14ac:dyDescent="0.15">
      <c r="A21" s="26"/>
      <c r="B21" s="23" t="s">
        <v>143</v>
      </c>
      <c r="C21" s="4">
        <v>88</v>
      </c>
      <c r="D21" s="4">
        <v>53</v>
      </c>
      <c r="E21" s="4">
        <v>3.2</v>
      </c>
      <c r="F21" s="4">
        <v>1.84</v>
      </c>
      <c r="G21" s="4">
        <v>5.76</v>
      </c>
      <c r="H21" s="4">
        <v>3</v>
      </c>
      <c r="I21" s="4">
        <v>191</v>
      </c>
      <c r="J21" s="4">
        <v>47</v>
      </c>
      <c r="K21" s="4">
        <v>3</v>
      </c>
      <c r="L21" s="4">
        <v>0.8</v>
      </c>
      <c r="M21" s="4">
        <v>0</v>
      </c>
      <c r="N21" s="4">
        <v>0.12</v>
      </c>
      <c r="O21" s="4">
        <v>0.42</v>
      </c>
      <c r="P21" s="4">
        <v>0.88</v>
      </c>
      <c r="Q21" s="4">
        <v>2</v>
      </c>
      <c r="R21" s="4">
        <v>2</v>
      </c>
      <c r="S21" s="4">
        <v>0.09</v>
      </c>
      <c r="T21" s="4">
        <v>0</v>
      </c>
      <c r="U21" s="4">
        <v>28</v>
      </c>
    </row>
    <row r="22" spans="1:21" x14ac:dyDescent="0.15">
      <c r="A22" s="21"/>
      <c r="B22" s="23" t="s">
        <v>144</v>
      </c>
      <c r="C22" s="4">
        <v>88</v>
      </c>
      <c r="D22" s="4">
        <v>61</v>
      </c>
      <c r="E22" s="4">
        <v>4</v>
      </c>
      <c r="F22" s="4">
        <v>3</v>
      </c>
      <c r="G22" s="4">
        <v>4.5</v>
      </c>
      <c r="H22" s="4">
        <v>65</v>
      </c>
      <c r="I22" s="4">
        <v>210</v>
      </c>
      <c r="J22" s="4">
        <v>110</v>
      </c>
      <c r="K22" s="4">
        <v>142</v>
      </c>
      <c r="L22" s="4">
        <v>0.2</v>
      </c>
      <c r="M22" s="4">
        <v>1</v>
      </c>
      <c r="N22" s="4">
        <v>0.04</v>
      </c>
      <c r="O22" s="4">
        <v>0.18</v>
      </c>
      <c r="P22" s="4">
        <v>0.15</v>
      </c>
      <c r="Q22" s="4">
        <v>16</v>
      </c>
      <c r="R22" s="4">
        <v>30</v>
      </c>
      <c r="S22" s="4">
        <v>0.18</v>
      </c>
      <c r="T22" s="4">
        <v>12</v>
      </c>
      <c r="U22" s="4">
        <v>16</v>
      </c>
    </row>
    <row r="23" spans="1:21" x14ac:dyDescent="0.15">
      <c r="A23" s="21"/>
      <c r="B23" s="23" t="s">
        <v>232</v>
      </c>
      <c r="C23" s="4">
        <v>82.9</v>
      </c>
      <c r="D23" s="4">
        <v>118</v>
      </c>
      <c r="E23" s="4">
        <v>3.6</v>
      </c>
      <c r="F23" s="4">
        <v>10</v>
      </c>
      <c r="G23" s="4">
        <v>5.4</v>
      </c>
      <c r="H23" s="4">
        <v>40</v>
      </c>
      <c r="I23" s="4">
        <v>11</v>
      </c>
      <c r="J23" s="4">
        <v>87</v>
      </c>
      <c r="K23" s="4">
        <v>117</v>
      </c>
      <c r="L23" s="4">
        <v>0.09</v>
      </c>
      <c r="M23" s="4">
        <v>0</v>
      </c>
      <c r="N23" s="4">
        <v>0.04</v>
      </c>
      <c r="O23" s="4">
        <v>0.14000000000000001</v>
      </c>
      <c r="P23" s="4">
        <v>0.15</v>
      </c>
      <c r="Q23" s="4">
        <v>16</v>
      </c>
      <c r="R23" s="4">
        <v>30</v>
      </c>
      <c r="S23" s="4">
        <v>0.2</v>
      </c>
      <c r="T23" s="4">
        <v>12</v>
      </c>
      <c r="U23" s="4">
        <v>11</v>
      </c>
    </row>
    <row r="24" spans="1:21" x14ac:dyDescent="0.15">
      <c r="A24" s="21"/>
      <c r="B24" s="23" t="s">
        <v>145</v>
      </c>
      <c r="C24" s="4">
        <v>68</v>
      </c>
      <c r="D24" s="4">
        <v>175</v>
      </c>
      <c r="E24" s="4">
        <v>15</v>
      </c>
      <c r="F24" s="4">
        <v>11</v>
      </c>
      <c r="G24" s="4">
        <v>4</v>
      </c>
      <c r="H24" s="4">
        <v>137</v>
      </c>
      <c r="I24" s="4">
        <v>228</v>
      </c>
      <c r="J24" s="4">
        <v>205</v>
      </c>
      <c r="K24" s="4">
        <v>104</v>
      </c>
      <c r="L24" s="4">
        <v>0.3</v>
      </c>
      <c r="M24" s="4">
        <v>0.5</v>
      </c>
      <c r="N24" s="4">
        <v>0.03</v>
      </c>
      <c r="O24" s="4">
        <v>0.24</v>
      </c>
      <c r="P24" s="4">
        <v>0.6</v>
      </c>
      <c r="Q24" s="4">
        <v>110</v>
      </c>
      <c r="R24" s="4">
        <v>75</v>
      </c>
      <c r="S24" s="4">
        <v>0.45</v>
      </c>
      <c r="T24" s="4">
        <v>14</v>
      </c>
      <c r="U24" s="4">
        <v>12</v>
      </c>
    </row>
    <row r="25" spans="1:21" x14ac:dyDescent="0.15">
      <c r="A25" s="21"/>
      <c r="B25" s="23" t="s">
        <v>146</v>
      </c>
      <c r="C25" s="4">
        <v>41</v>
      </c>
      <c r="D25" s="4">
        <v>376</v>
      </c>
      <c r="E25" s="4">
        <v>29</v>
      </c>
      <c r="F25" s="4">
        <v>28.7</v>
      </c>
      <c r="G25" s="4">
        <v>0.5</v>
      </c>
      <c r="H25" s="4">
        <v>600</v>
      </c>
      <c r="I25" s="4">
        <v>120</v>
      </c>
      <c r="J25" s="4">
        <v>520</v>
      </c>
      <c r="K25" s="4">
        <v>800</v>
      </c>
      <c r="L25" s="4">
        <v>0.6</v>
      </c>
      <c r="M25" s="4">
        <v>0</v>
      </c>
      <c r="N25" s="4">
        <v>0.04</v>
      </c>
      <c r="O25" s="4">
        <v>0.3</v>
      </c>
      <c r="P25" s="4">
        <v>7.0000000000000007E-2</v>
      </c>
      <c r="Q25" s="4">
        <v>135</v>
      </c>
      <c r="R25" s="4">
        <v>215</v>
      </c>
      <c r="S25" s="4">
        <v>0.75</v>
      </c>
      <c r="T25" s="4">
        <v>70</v>
      </c>
      <c r="U25" s="4">
        <v>36</v>
      </c>
    </row>
    <row r="26" spans="1:21" x14ac:dyDescent="0.15">
      <c r="A26" s="21"/>
      <c r="B26" s="23" t="s">
        <v>147</v>
      </c>
      <c r="C26" s="4">
        <v>36</v>
      </c>
      <c r="D26" s="4">
        <v>416</v>
      </c>
      <c r="E26" s="4">
        <v>28</v>
      </c>
      <c r="F26" s="4">
        <v>33.5</v>
      </c>
      <c r="G26" s="4">
        <v>0.5</v>
      </c>
      <c r="H26" s="4">
        <v>900</v>
      </c>
      <c r="I26" s="4">
        <v>113</v>
      </c>
      <c r="J26" s="4">
        <v>700</v>
      </c>
      <c r="K26" s="4">
        <v>848</v>
      </c>
      <c r="L26" s="4">
        <v>0.8</v>
      </c>
      <c r="M26" s="4">
        <v>0</v>
      </c>
      <c r="N26" s="4">
        <v>0.04</v>
      </c>
      <c r="O26" s="4">
        <v>0.4</v>
      </c>
      <c r="P26" s="4">
        <v>0.1</v>
      </c>
      <c r="Q26" s="4">
        <v>200</v>
      </c>
      <c r="R26" s="4">
        <v>310</v>
      </c>
      <c r="S26" s="4">
        <v>0.98</v>
      </c>
      <c r="T26" s="4">
        <v>90</v>
      </c>
      <c r="U26" s="4">
        <v>46</v>
      </c>
    </row>
    <row r="27" spans="1:21" x14ac:dyDescent="0.15">
      <c r="A27" s="21"/>
      <c r="B27" s="23" t="s">
        <v>148</v>
      </c>
      <c r="C27" s="4">
        <v>53.2</v>
      </c>
      <c r="D27" s="4">
        <v>273</v>
      </c>
      <c r="E27" s="4">
        <v>16.7</v>
      </c>
      <c r="F27" s="4">
        <v>21.3</v>
      </c>
      <c r="G27" s="4">
        <v>3.8</v>
      </c>
      <c r="H27" s="4">
        <v>1320</v>
      </c>
      <c r="I27" s="4">
        <v>130</v>
      </c>
      <c r="J27" s="4">
        <v>800</v>
      </c>
      <c r="K27" s="4">
        <v>425</v>
      </c>
      <c r="L27" s="4">
        <v>0.9</v>
      </c>
      <c r="M27" s="4">
        <v>0</v>
      </c>
      <c r="N27" s="4">
        <v>0.06</v>
      </c>
      <c r="O27" s="4">
        <v>0.46</v>
      </c>
      <c r="P27" s="4">
        <v>1.1000000000000001</v>
      </c>
      <c r="Q27" s="4">
        <v>222</v>
      </c>
      <c r="R27" s="4">
        <v>400</v>
      </c>
      <c r="S27" s="4">
        <v>0.85</v>
      </c>
      <c r="T27" s="4">
        <v>110</v>
      </c>
      <c r="U27" s="4">
        <v>30</v>
      </c>
    </row>
    <row r="28" spans="1:21" x14ac:dyDescent="0.15">
      <c r="A28" s="21"/>
      <c r="B28" s="23" t="s">
        <v>149</v>
      </c>
      <c r="C28" s="4">
        <v>90</v>
      </c>
      <c r="D28" s="4">
        <v>40</v>
      </c>
      <c r="E28" s="4">
        <v>4.5</v>
      </c>
      <c r="F28" s="4">
        <v>0.4</v>
      </c>
      <c r="G28" s="4">
        <v>4.4000000000000004</v>
      </c>
      <c r="H28" s="4">
        <v>50</v>
      </c>
      <c r="I28" s="4">
        <v>220</v>
      </c>
      <c r="J28" s="4">
        <v>125</v>
      </c>
      <c r="K28" s="4">
        <v>148</v>
      </c>
      <c r="L28" s="4">
        <v>0.1</v>
      </c>
      <c r="M28" s="4">
        <v>1</v>
      </c>
      <c r="N28" s="4">
        <v>0.04</v>
      </c>
      <c r="O28" s="4">
        <v>0.17</v>
      </c>
      <c r="P28" s="4">
        <v>0.13</v>
      </c>
      <c r="Q28" s="4">
        <v>0.04</v>
      </c>
      <c r="R28" s="4">
        <v>0</v>
      </c>
      <c r="S28" s="4">
        <v>0.18</v>
      </c>
      <c r="T28" s="4">
        <v>1</v>
      </c>
      <c r="U28" s="4">
        <v>17</v>
      </c>
    </row>
    <row r="29" spans="1:21" x14ac:dyDescent="0.15">
      <c r="A29" s="21"/>
      <c r="B29" s="23" t="s">
        <v>150</v>
      </c>
      <c r="C29" s="23">
        <v>62</v>
      </c>
      <c r="D29" s="4">
        <v>199</v>
      </c>
      <c r="E29" s="4">
        <v>2.8</v>
      </c>
      <c r="F29" s="4">
        <v>9.1999999999999993</v>
      </c>
      <c r="G29" s="4">
        <v>26.2</v>
      </c>
      <c r="H29" s="4">
        <v>71</v>
      </c>
      <c r="I29" s="4">
        <v>180</v>
      </c>
      <c r="J29" s="4">
        <v>109</v>
      </c>
      <c r="K29" s="4">
        <v>135</v>
      </c>
      <c r="L29" s="4">
        <v>0.2</v>
      </c>
      <c r="M29" s="4">
        <v>0.4</v>
      </c>
      <c r="N29" s="4">
        <v>0.05</v>
      </c>
      <c r="O29" s="4">
        <v>0.22</v>
      </c>
      <c r="P29" s="4">
        <v>0.1</v>
      </c>
      <c r="Q29" s="4">
        <v>0.05</v>
      </c>
      <c r="R29" s="4">
        <v>50</v>
      </c>
      <c r="S29" s="4">
        <v>0.1</v>
      </c>
      <c r="T29" s="4">
        <v>28</v>
      </c>
      <c r="U29" s="4">
        <v>14</v>
      </c>
    </row>
    <row r="30" spans="1:21" x14ac:dyDescent="0.15">
      <c r="A30" s="21"/>
      <c r="B30" s="23" t="s">
        <v>151</v>
      </c>
      <c r="C30" s="4">
        <v>86</v>
      </c>
      <c r="D30" s="4">
        <v>46</v>
      </c>
      <c r="E30" s="4">
        <v>8</v>
      </c>
      <c r="F30" s="4">
        <v>0.1</v>
      </c>
      <c r="G30" s="4">
        <v>3.5</v>
      </c>
      <c r="H30" s="4">
        <v>40</v>
      </c>
      <c r="I30" s="4">
        <v>0</v>
      </c>
      <c r="J30" s="4">
        <v>0</v>
      </c>
      <c r="K30" s="4">
        <v>120</v>
      </c>
      <c r="L30" s="4">
        <v>0.3</v>
      </c>
      <c r="M30" s="4">
        <v>0.5</v>
      </c>
      <c r="N30" s="4">
        <v>0.03</v>
      </c>
      <c r="O30" s="4">
        <v>0.24</v>
      </c>
      <c r="P30" s="4">
        <v>0.6</v>
      </c>
      <c r="Q30" s="4">
        <v>110</v>
      </c>
      <c r="R30" s="4">
        <v>75</v>
      </c>
      <c r="S30" s="4">
        <v>0.28000000000000003</v>
      </c>
      <c r="T30" s="4">
        <v>14</v>
      </c>
      <c r="U30" s="4">
        <v>12</v>
      </c>
    </row>
    <row r="31" spans="1:21" ht="14" thickBot="1" x14ac:dyDescent="0.2">
      <c r="A31" s="22"/>
      <c r="B31" s="60" t="s">
        <v>152</v>
      </c>
      <c r="C31" s="61">
        <v>54</v>
      </c>
      <c r="D31" s="61">
        <v>260</v>
      </c>
      <c r="E31" s="61">
        <v>29</v>
      </c>
      <c r="F31" s="61">
        <v>16</v>
      </c>
      <c r="G31" s="61">
        <v>0</v>
      </c>
      <c r="H31" s="61">
        <v>512</v>
      </c>
      <c r="I31" s="61">
        <v>121</v>
      </c>
      <c r="J31" s="61">
        <v>546</v>
      </c>
      <c r="K31" s="61">
        <v>700</v>
      </c>
      <c r="L31" s="61">
        <v>0.2</v>
      </c>
      <c r="M31" s="61">
        <v>0</v>
      </c>
      <c r="N31" s="61">
        <v>0</v>
      </c>
      <c r="O31" s="61">
        <v>0.3</v>
      </c>
      <c r="P31" s="61">
        <v>0.1</v>
      </c>
      <c r="Q31" s="61">
        <v>222</v>
      </c>
      <c r="R31" s="61">
        <v>400</v>
      </c>
      <c r="S31" s="61">
        <v>0.61</v>
      </c>
      <c r="T31" s="61">
        <v>114</v>
      </c>
      <c r="U31" s="61">
        <v>29</v>
      </c>
    </row>
  </sheetData>
  <phoneticPr fontId="0" type="noConversion"/>
  <pageMargins left="0.75" right="0.75" top="1" bottom="1" header="0" footer="0"/>
  <pageSetup orientation="portrait"/>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3"/>
  <sheetViews>
    <sheetView zoomScale="90" zoomScaleNormal="90" zoomScalePageLayoutView="90" workbookViewId="0">
      <selection activeCell="A4" sqref="A4"/>
    </sheetView>
  </sheetViews>
  <sheetFormatPr baseColWidth="10" defaultRowHeight="13" x14ac:dyDescent="0.15"/>
  <cols>
    <col min="2" max="2" width="56" customWidth="1"/>
    <col min="19" max="21" width="16.6640625" customWidth="1"/>
  </cols>
  <sheetData>
    <row r="1" spans="1:21" s="1" customFormat="1" x14ac:dyDescent="0.15">
      <c r="C1" s="17" t="s">
        <v>0</v>
      </c>
      <c r="D1" s="17" t="s">
        <v>1</v>
      </c>
      <c r="E1" s="17" t="s">
        <v>2</v>
      </c>
      <c r="F1" s="17" t="s">
        <v>3</v>
      </c>
      <c r="G1" s="17" t="s">
        <v>4</v>
      </c>
      <c r="H1" s="17" t="s">
        <v>5</v>
      </c>
      <c r="I1" s="17" t="s">
        <v>6</v>
      </c>
      <c r="J1" s="17" t="s">
        <v>7</v>
      </c>
      <c r="K1" s="17" t="s">
        <v>8</v>
      </c>
      <c r="L1" s="17" t="s">
        <v>13</v>
      </c>
      <c r="M1" s="17" t="s">
        <v>14</v>
      </c>
      <c r="N1" s="17" t="s">
        <v>15</v>
      </c>
      <c r="O1" s="17" t="s">
        <v>16</v>
      </c>
      <c r="P1" s="17" t="s">
        <v>17</v>
      </c>
      <c r="Q1" s="17" t="s">
        <v>18</v>
      </c>
      <c r="R1" s="17" t="s">
        <v>19</v>
      </c>
      <c r="S1" s="17" t="s">
        <v>44</v>
      </c>
      <c r="T1" s="17" t="s">
        <v>66</v>
      </c>
      <c r="U1" s="17" t="s">
        <v>70</v>
      </c>
    </row>
    <row r="2" spans="1:21" s="1" customFormat="1" ht="14" thickBot="1" x14ac:dyDescent="0.2">
      <c r="C2" s="18" t="s">
        <v>9</v>
      </c>
      <c r="D2" s="18" t="s">
        <v>10</v>
      </c>
      <c r="E2" s="18" t="s">
        <v>9</v>
      </c>
      <c r="F2" s="18" t="s">
        <v>11</v>
      </c>
      <c r="G2" s="18" t="s">
        <v>9</v>
      </c>
      <c r="H2" s="18" t="s">
        <v>12</v>
      </c>
      <c r="I2" s="18" t="s">
        <v>12</v>
      </c>
      <c r="J2" s="18" t="s">
        <v>12</v>
      </c>
      <c r="K2" s="18" t="s">
        <v>12</v>
      </c>
      <c r="L2" s="18" t="s">
        <v>12</v>
      </c>
      <c r="M2" s="18" t="s">
        <v>12</v>
      </c>
      <c r="N2" s="18" t="s">
        <v>12</v>
      </c>
      <c r="O2" s="18" t="s">
        <v>12</v>
      </c>
      <c r="P2" s="18" t="s">
        <v>12</v>
      </c>
      <c r="Q2" s="18" t="s">
        <v>20</v>
      </c>
      <c r="R2" s="18" t="s">
        <v>20</v>
      </c>
      <c r="S2" s="18" t="s">
        <v>46</v>
      </c>
      <c r="T2" s="18" t="s">
        <v>12</v>
      </c>
      <c r="U2" s="18" t="s">
        <v>12</v>
      </c>
    </row>
    <row r="3" spans="1:21" ht="17" thickBot="1" x14ac:dyDescent="0.25">
      <c r="A3" s="57" t="s">
        <v>92</v>
      </c>
      <c r="B3" s="19" t="s">
        <v>32</v>
      </c>
    </row>
    <row r="4" spans="1:21" x14ac:dyDescent="0.15">
      <c r="A4" s="25">
        <v>70</v>
      </c>
      <c r="B4" s="24" t="s">
        <v>154</v>
      </c>
      <c r="C4" s="4">
        <v>10</v>
      </c>
      <c r="D4" s="4">
        <v>362</v>
      </c>
      <c r="E4" s="4">
        <v>6.8</v>
      </c>
      <c r="F4" s="4">
        <v>0.9</v>
      </c>
      <c r="G4" s="4">
        <v>81.599999999999994</v>
      </c>
      <c r="H4" s="4">
        <v>5</v>
      </c>
      <c r="I4" s="4">
        <v>106</v>
      </c>
      <c r="J4" s="4">
        <v>120</v>
      </c>
      <c r="K4" s="4">
        <v>14</v>
      </c>
      <c r="L4" s="4">
        <v>0.7</v>
      </c>
      <c r="M4" s="4">
        <v>0</v>
      </c>
      <c r="N4" s="4">
        <v>0.06</v>
      </c>
      <c r="O4" s="4">
        <v>0.04</v>
      </c>
      <c r="P4" s="4">
        <v>2.2999999999999998</v>
      </c>
      <c r="Q4" s="4">
        <v>0</v>
      </c>
      <c r="R4" s="4">
        <v>0</v>
      </c>
      <c r="S4" s="4">
        <v>0.13</v>
      </c>
      <c r="T4" s="4">
        <v>0</v>
      </c>
      <c r="U4" s="4">
        <v>33</v>
      </c>
    </row>
    <row r="5" spans="1:21" x14ac:dyDescent="0.15">
      <c r="A5" s="21"/>
      <c r="B5" s="23" t="s">
        <v>155</v>
      </c>
      <c r="C5" s="4">
        <v>14</v>
      </c>
      <c r="D5" s="4">
        <v>355</v>
      </c>
      <c r="E5" s="4">
        <v>8</v>
      </c>
      <c r="F5" s="4">
        <v>3</v>
      </c>
      <c r="G5" s="4">
        <v>74</v>
      </c>
      <c r="H5" s="4">
        <v>6</v>
      </c>
      <c r="I5" s="4">
        <v>223</v>
      </c>
      <c r="J5" s="4">
        <v>120</v>
      </c>
      <c r="K5" s="4">
        <v>21</v>
      </c>
      <c r="L5" s="4">
        <v>1.7</v>
      </c>
      <c r="M5" s="4">
        <v>0</v>
      </c>
      <c r="N5" s="4">
        <v>0.39</v>
      </c>
      <c r="O5" s="4">
        <v>0.08</v>
      </c>
      <c r="P5" s="4">
        <v>4.8</v>
      </c>
      <c r="Q5" s="4">
        <v>0</v>
      </c>
      <c r="R5" s="4">
        <v>0</v>
      </c>
      <c r="S5" s="4">
        <v>0.15</v>
      </c>
      <c r="T5" s="4">
        <v>0</v>
      </c>
      <c r="U5" s="4">
        <v>143</v>
      </c>
    </row>
    <row r="6" spans="1:21" x14ac:dyDescent="0.15">
      <c r="A6" s="21"/>
      <c r="B6" s="23" t="s">
        <v>237</v>
      </c>
      <c r="C6" s="4">
        <v>72</v>
      </c>
      <c r="D6" s="4">
        <v>112</v>
      </c>
      <c r="E6" s="4">
        <v>2.6</v>
      </c>
      <c r="F6" s="4">
        <v>0.4</v>
      </c>
      <c r="G6" s="4">
        <v>24.2</v>
      </c>
      <c r="H6" s="4">
        <v>3</v>
      </c>
      <c r="I6" s="4">
        <v>43</v>
      </c>
      <c r="J6" s="4">
        <v>83</v>
      </c>
      <c r="K6" s="4">
        <v>10</v>
      </c>
      <c r="L6" s="4">
        <v>0.48</v>
      </c>
      <c r="M6" s="4">
        <v>0</v>
      </c>
      <c r="N6" s="4">
        <v>0.1</v>
      </c>
      <c r="O6" s="4">
        <v>0.02</v>
      </c>
      <c r="P6" s="4"/>
      <c r="Q6" s="4">
        <v>0</v>
      </c>
      <c r="R6" s="4">
        <v>0</v>
      </c>
      <c r="S6" s="4">
        <v>0.06</v>
      </c>
      <c r="T6" s="4">
        <v>0</v>
      </c>
      <c r="U6" s="4">
        <v>0.43</v>
      </c>
    </row>
    <row r="7" spans="1:21" x14ac:dyDescent="0.15">
      <c r="A7" s="21"/>
      <c r="B7" s="23" t="s">
        <v>236</v>
      </c>
      <c r="C7" s="4">
        <v>5</v>
      </c>
      <c r="D7" s="4">
        <v>387</v>
      </c>
      <c r="E7" s="4">
        <v>8.1999999999999993</v>
      </c>
      <c r="F7" s="4">
        <v>2.8</v>
      </c>
      <c r="G7" s="4">
        <v>81.5</v>
      </c>
      <c r="H7" s="4">
        <v>326</v>
      </c>
      <c r="I7" s="4">
        <v>290</v>
      </c>
      <c r="J7" s="4">
        <v>360</v>
      </c>
      <c r="K7" s="4">
        <v>11</v>
      </c>
      <c r="L7" s="4">
        <v>1.49</v>
      </c>
      <c r="M7" s="4">
        <v>0</v>
      </c>
      <c r="N7" s="4">
        <v>0.06</v>
      </c>
      <c r="O7" s="4">
        <v>0.16</v>
      </c>
      <c r="P7" s="4">
        <v>7.8</v>
      </c>
      <c r="Q7" s="4">
        <v>0</v>
      </c>
      <c r="R7" s="4">
        <v>0</v>
      </c>
      <c r="S7" s="4">
        <v>1</v>
      </c>
      <c r="T7" s="4">
        <v>0</v>
      </c>
      <c r="U7" s="4">
        <v>131</v>
      </c>
    </row>
    <row r="8" spans="1:21" x14ac:dyDescent="0.15">
      <c r="A8" s="21"/>
      <c r="B8" s="23" t="s">
        <v>156</v>
      </c>
      <c r="C8" s="4">
        <v>35</v>
      </c>
      <c r="D8" s="4">
        <v>260</v>
      </c>
      <c r="E8" s="4">
        <v>7.5</v>
      </c>
      <c r="F8" s="4">
        <v>1.2</v>
      </c>
      <c r="G8" s="4">
        <v>55</v>
      </c>
      <c r="H8" s="4">
        <v>600</v>
      </c>
      <c r="I8" s="4">
        <v>120</v>
      </c>
      <c r="J8" s="4">
        <v>100</v>
      </c>
      <c r="K8" s="4">
        <v>56</v>
      </c>
      <c r="L8" s="4">
        <v>1.2</v>
      </c>
      <c r="M8" s="4">
        <v>0</v>
      </c>
      <c r="N8" s="4">
        <v>0.08</v>
      </c>
      <c r="O8" s="4">
        <v>0.05</v>
      </c>
      <c r="P8" s="4">
        <v>1</v>
      </c>
      <c r="Q8" s="4">
        <v>0</v>
      </c>
      <c r="R8" s="4">
        <v>0</v>
      </c>
      <c r="S8" s="4">
        <v>0.18</v>
      </c>
      <c r="T8" s="4">
        <v>0</v>
      </c>
      <c r="U8" s="4">
        <v>25</v>
      </c>
    </row>
    <row r="9" spans="1:21" x14ac:dyDescent="0.15">
      <c r="A9" s="26"/>
      <c r="B9" s="23" t="s">
        <v>157</v>
      </c>
      <c r="C9" s="4">
        <v>40</v>
      </c>
      <c r="D9" s="4">
        <v>240</v>
      </c>
      <c r="E9" s="4">
        <v>8.5</v>
      </c>
      <c r="F9" s="4">
        <v>1.5</v>
      </c>
      <c r="G9" s="4">
        <v>48</v>
      </c>
      <c r="H9" s="4">
        <v>650</v>
      </c>
      <c r="I9" s="4">
        <v>225</v>
      </c>
      <c r="J9" s="4">
        <v>195</v>
      </c>
      <c r="K9" s="4">
        <v>58</v>
      </c>
      <c r="L9" s="4">
        <v>2</v>
      </c>
      <c r="M9" s="4">
        <v>0</v>
      </c>
      <c r="N9" s="4">
        <v>0.3</v>
      </c>
      <c r="O9" s="4">
        <v>0.14000000000000001</v>
      </c>
      <c r="P9" s="4">
        <v>3.4</v>
      </c>
      <c r="Q9" s="4">
        <v>0</v>
      </c>
      <c r="R9" s="4">
        <v>0</v>
      </c>
      <c r="S9" s="4">
        <v>0.2</v>
      </c>
      <c r="T9" s="4">
        <v>0</v>
      </c>
      <c r="U9" s="4">
        <v>81</v>
      </c>
    </row>
    <row r="10" spans="1:21" x14ac:dyDescent="0.15">
      <c r="A10" s="21"/>
      <c r="B10" s="23" t="s">
        <v>158</v>
      </c>
      <c r="C10" s="4">
        <v>10</v>
      </c>
      <c r="D10" s="4">
        <v>376</v>
      </c>
      <c r="E10" s="4">
        <v>10</v>
      </c>
      <c r="F10" s="4">
        <v>4</v>
      </c>
      <c r="G10" s="4">
        <v>75</v>
      </c>
      <c r="H10" s="4">
        <v>263</v>
      </c>
      <c r="I10" s="4">
        <v>160</v>
      </c>
      <c r="J10" s="4">
        <v>120</v>
      </c>
      <c r="K10" s="4">
        <v>36</v>
      </c>
      <c r="L10" s="4">
        <v>1.3</v>
      </c>
      <c r="M10" s="4">
        <v>0</v>
      </c>
      <c r="N10" s="4">
        <v>7.0000000000000007E-2</v>
      </c>
      <c r="O10" s="4">
        <v>0.06</v>
      </c>
      <c r="P10" s="4">
        <v>1</v>
      </c>
      <c r="Q10" s="4">
        <v>0</v>
      </c>
      <c r="R10" s="4">
        <v>0</v>
      </c>
      <c r="S10" s="4">
        <v>0.3</v>
      </c>
      <c r="T10" s="4">
        <v>0</v>
      </c>
      <c r="U10" s="4">
        <v>18</v>
      </c>
    </row>
    <row r="11" spans="1:21" x14ac:dyDescent="0.15">
      <c r="A11" s="21"/>
      <c r="B11" s="23" t="s">
        <v>159</v>
      </c>
      <c r="C11" s="4">
        <v>4</v>
      </c>
      <c r="D11" s="4">
        <v>450</v>
      </c>
      <c r="E11" s="4">
        <v>7</v>
      </c>
      <c r="F11" s="4">
        <v>14</v>
      </c>
      <c r="G11" s="4">
        <v>74</v>
      </c>
      <c r="H11" s="4">
        <v>250</v>
      </c>
      <c r="I11" s="4">
        <v>110</v>
      </c>
      <c r="J11" s="4">
        <v>97</v>
      </c>
      <c r="K11" s="4">
        <v>30</v>
      </c>
      <c r="L11" s="4">
        <v>1.5</v>
      </c>
      <c r="M11" s="4">
        <v>0</v>
      </c>
      <c r="N11" s="4">
        <v>0.1</v>
      </c>
      <c r="O11" s="4">
        <v>0.08</v>
      </c>
      <c r="P11" s="4">
        <v>2.1</v>
      </c>
      <c r="Q11" s="4">
        <v>30</v>
      </c>
      <c r="R11" s="4">
        <v>50</v>
      </c>
      <c r="S11" s="4">
        <v>0.3</v>
      </c>
      <c r="T11" s="4">
        <v>0</v>
      </c>
      <c r="U11" s="4">
        <v>25</v>
      </c>
    </row>
    <row r="12" spans="1:21" x14ac:dyDescent="0.15">
      <c r="A12" s="26"/>
      <c r="B12" s="23" t="s">
        <v>160</v>
      </c>
      <c r="C12" s="4">
        <v>11</v>
      </c>
      <c r="D12" s="4">
        <v>356</v>
      </c>
      <c r="E12" s="4">
        <v>12.5</v>
      </c>
      <c r="F12" s="4">
        <v>1.2</v>
      </c>
      <c r="G12" s="4">
        <v>74</v>
      </c>
      <c r="H12" s="4">
        <v>5</v>
      </c>
      <c r="I12" s="4">
        <v>200</v>
      </c>
      <c r="J12" s="4">
        <v>100</v>
      </c>
      <c r="K12" s="4">
        <v>23</v>
      </c>
      <c r="L12" s="4">
        <v>1.3</v>
      </c>
      <c r="M12" s="4">
        <v>0</v>
      </c>
      <c r="N12" s="4">
        <v>0.1</v>
      </c>
      <c r="O12" s="4">
        <v>0.05</v>
      </c>
      <c r="P12" s="4">
        <v>2</v>
      </c>
      <c r="Q12" s="4">
        <v>0</v>
      </c>
      <c r="R12" s="4">
        <v>0</v>
      </c>
      <c r="S12" s="4">
        <v>0.18</v>
      </c>
      <c r="T12" s="4">
        <v>0</v>
      </c>
      <c r="U12" s="4">
        <v>55</v>
      </c>
    </row>
    <row r="13" spans="1:21" x14ac:dyDescent="0.15">
      <c r="A13" s="21"/>
      <c r="B13" s="23" t="s">
        <v>161</v>
      </c>
      <c r="C13" s="4">
        <v>4</v>
      </c>
      <c r="D13" s="4">
        <v>391</v>
      </c>
      <c r="E13" s="4">
        <v>7</v>
      </c>
      <c r="F13" s="4">
        <v>1.2</v>
      </c>
      <c r="G13" s="4">
        <v>87</v>
      </c>
      <c r="H13" s="4">
        <v>640</v>
      </c>
      <c r="I13" s="4">
        <v>140</v>
      </c>
      <c r="J13" s="4">
        <v>90</v>
      </c>
      <c r="K13" s="4">
        <v>20</v>
      </c>
      <c r="L13" s="4">
        <v>8.5</v>
      </c>
      <c r="M13" s="4">
        <v>0</v>
      </c>
      <c r="N13" s="4">
        <v>1.3</v>
      </c>
      <c r="O13" s="4">
        <v>1.5</v>
      </c>
      <c r="P13" s="4">
        <v>18</v>
      </c>
      <c r="Q13" s="4">
        <v>0</v>
      </c>
      <c r="R13" s="4">
        <v>0</v>
      </c>
      <c r="S13" s="4">
        <v>0.45</v>
      </c>
      <c r="T13" s="4">
        <v>0</v>
      </c>
      <c r="U13" s="4">
        <v>25</v>
      </c>
    </row>
    <row r="14" spans="1:21" x14ac:dyDescent="0.15">
      <c r="A14" s="26">
        <v>100</v>
      </c>
      <c r="B14" s="23" t="s">
        <v>162</v>
      </c>
      <c r="C14" s="4">
        <v>9</v>
      </c>
      <c r="D14" s="4">
        <v>348</v>
      </c>
      <c r="E14" s="4">
        <v>15</v>
      </c>
      <c r="F14" s="4">
        <v>6.4</v>
      </c>
      <c r="G14" s="4">
        <v>57.7</v>
      </c>
      <c r="H14" s="4">
        <v>4</v>
      </c>
      <c r="I14" s="4">
        <v>350</v>
      </c>
      <c r="J14" s="4">
        <v>420</v>
      </c>
      <c r="K14" s="4">
        <v>53</v>
      </c>
      <c r="L14" s="4">
        <v>4.2</v>
      </c>
      <c r="M14" s="4">
        <v>0</v>
      </c>
      <c r="N14" s="4">
        <v>0.5</v>
      </c>
      <c r="O14" s="4">
        <v>0.14000000000000001</v>
      </c>
      <c r="P14" s="4">
        <v>0.8</v>
      </c>
      <c r="Q14" s="4">
        <v>0</v>
      </c>
      <c r="R14" s="4">
        <v>0</v>
      </c>
      <c r="S14" s="4">
        <v>0.25</v>
      </c>
      <c r="T14" s="4">
        <v>0</v>
      </c>
      <c r="U14" s="4">
        <v>148</v>
      </c>
    </row>
    <row r="15" spans="1:21" x14ac:dyDescent="0.15">
      <c r="A15" s="21"/>
      <c r="B15" s="23" t="s">
        <v>163</v>
      </c>
      <c r="C15" s="4">
        <v>10</v>
      </c>
      <c r="D15" s="4">
        <v>338</v>
      </c>
      <c r="E15" s="4">
        <v>11.5</v>
      </c>
      <c r="F15" s="4">
        <v>2</v>
      </c>
      <c r="G15" s="4">
        <v>68.400000000000006</v>
      </c>
      <c r="H15" s="4">
        <v>260</v>
      </c>
      <c r="I15" s="4">
        <v>0</v>
      </c>
      <c r="J15" s="4">
        <v>0</v>
      </c>
      <c r="K15" s="4">
        <v>0</v>
      </c>
      <c r="L15" s="4">
        <v>11.9</v>
      </c>
      <c r="M15" s="4">
        <v>0</v>
      </c>
      <c r="N15" s="4">
        <v>1.2</v>
      </c>
      <c r="O15" s="4">
        <v>1.4</v>
      </c>
      <c r="P15" s="4">
        <v>15.3</v>
      </c>
      <c r="Q15" s="4">
        <v>0</v>
      </c>
      <c r="R15" s="4">
        <v>0</v>
      </c>
      <c r="S15" s="4">
        <v>0.63</v>
      </c>
      <c r="T15" s="4">
        <v>0</v>
      </c>
      <c r="U15" s="4">
        <v>0</v>
      </c>
    </row>
    <row r="16" spans="1:21" x14ac:dyDescent="0.15">
      <c r="A16" s="21"/>
      <c r="B16" s="23" t="s">
        <v>164</v>
      </c>
      <c r="C16" s="4">
        <v>13</v>
      </c>
      <c r="D16" s="4">
        <v>318</v>
      </c>
      <c r="E16" s="4">
        <v>12</v>
      </c>
      <c r="F16" s="4">
        <v>6</v>
      </c>
      <c r="G16" s="4">
        <v>49</v>
      </c>
      <c r="H16" s="4">
        <v>61</v>
      </c>
      <c r="I16" s="4">
        <v>782</v>
      </c>
      <c r="J16" s="4">
        <v>230</v>
      </c>
      <c r="K16" s="4">
        <v>79</v>
      </c>
      <c r="L16" s="4">
        <v>7.8</v>
      </c>
      <c r="M16" s="4">
        <v>0</v>
      </c>
      <c r="N16" s="4">
        <v>0.2</v>
      </c>
      <c r="O16" s="4">
        <v>0.4</v>
      </c>
      <c r="P16" s="4">
        <v>2.9</v>
      </c>
      <c r="Q16" s="4">
        <v>0</v>
      </c>
      <c r="R16" s="4">
        <v>0</v>
      </c>
      <c r="S16" s="4">
        <v>0.8</v>
      </c>
      <c r="T16" s="4">
        <v>0</v>
      </c>
      <c r="U16" s="4">
        <v>210</v>
      </c>
    </row>
    <row r="17" spans="1:21" ht="14" thickBot="1" x14ac:dyDescent="0.2">
      <c r="A17" s="22"/>
      <c r="B17" s="60" t="s">
        <v>165</v>
      </c>
      <c r="C17" s="60">
        <v>13</v>
      </c>
      <c r="D17" s="61">
        <v>419</v>
      </c>
      <c r="E17" s="61">
        <v>10</v>
      </c>
      <c r="F17" s="61">
        <v>12</v>
      </c>
      <c r="G17" s="61">
        <v>65</v>
      </c>
      <c r="H17" s="61">
        <v>200</v>
      </c>
      <c r="I17" s="61">
        <v>440</v>
      </c>
      <c r="J17" s="61">
        <v>310</v>
      </c>
      <c r="K17" s="61">
        <v>63</v>
      </c>
      <c r="L17" s="61">
        <v>4.8</v>
      </c>
      <c r="M17" s="61">
        <v>0</v>
      </c>
      <c r="N17" s="61">
        <v>0.55000000000000004</v>
      </c>
      <c r="O17" s="61">
        <v>0.48</v>
      </c>
      <c r="P17" s="61">
        <v>4.0999999999999996</v>
      </c>
      <c r="Q17" s="61">
        <v>0</v>
      </c>
      <c r="R17" s="61">
        <v>0</v>
      </c>
      <c r="S17" s="61">
        <v>0.16</v>
      </c>
      <c r="T17" s="61">
        <v>0</v>
      </c>
      <c r="U17" s="61">
        <v>100</v>
      </c>
    </row>
    <row r="18" spans="1:21" ht="14" thickBot="1" x14ac:dyDescent="0.2"/>
    <row r="19" spans="1:21" s="1" customFormat="1" x14ac:dyDescent="0.15">
      <c r="C19" s="17" t="s">
        <v>0</v>
      </c>
      <c r="D19" s="17" t="s">
        <v>1</v>
      </c>
      <c r="E19" s="17" t="s">
        <v>2</v>
      </c>
      <c r="F19" s="17" t="s">
        <v>3</v>
      </c>
      <c r="G19" s="17" t="s">
        <v>4</v>
      </c>
      <c r="H19" s="17" t="s">
        <v>5</v>
      </c>
      <c r="I19" s="17" t="s">
        <v>6</v>
      </c>
      <c r="J19" s="17" t="s">
        <v>7</v>
      </c>
      <c r="K19" s="17" t="s">
        <v>8</v>
      </c>
      <c r="L19" s="17" t="s">
        <v>13</v>
      </c>
      <c r="M19" s="17" t="s">
        <v>14</v>
      </c>
      <c r="N19" s="17" t="s">
        <v>15</v>
      </c>
      <c r="O19" s="17" t="s">
        <v>16</v>
      </c>
      <c r="P19" s="17" t="s">
        <v>17</v>
      </c>
      <c r="Q19" s="17" t="s">
        <v>18</v>
      </c>
      <c r="R19" s="17" t="s">
        <v>19</v>
      </c>
      <c r="S19" s="17" t="s">
        <v>44</v>
      </c>
      <c r="T19" s="17" t="s">
        <v>66</v>
      </c>
      <c r="U19" s="17" t="s">
        <v>70</v>
      </c>
    </row>
    <row r="20" spans="1:21" s="1" customFormat="1" ht="14" thickBot="1" x14ac:dyDescent="0.2">
      <c r="C20" s="18" t="s">
        <v>9</v>
      </c>
      <c r="D20" s="18" t="s">
        <v>10</v>
      </c>
      <c r="E20" s="18" t="s">
        <v>9</v>
      </c>
      <c r="F20" s="18" t="s">
        <v>11</v>
      </c>
      <c r="G20" s="18" t="s">
        <v>9</v>
      </c>
      <c r="H20" s="18" t="s">
        <v>12</v>
      </c>
      <c r="I20" s="18" t="s">
        <v>12</v>
      </c>
      <c r="J20" s="18" t="s">
        <v>12</v>
      </c>
      <c r="K20" s="18" t="s">
        <v>12</v>
      </c>
      <c r="L20" s="18" t="s">
        <v>12</v>
      </c>
      <c r="M20" s="18" t="s">
        <v>12</v>
      </c>
      <c r="N20" s="18" t="s">
        <v>12</v>
      </c>
      <c r="O20" s="18" t="s">
        <v>12</v>
      </c>
      <c r="P20" s="18" t="s">
        <v>12</v>
      </c>
      <c r="Q20" s="18" t="s">
        <v>20</v>
      </c>
      <c r="R20" s="18" t="s">
        <v>20</v>
      </c>
      <c r="S20" s="18" t="s">
        <v>46</v>
      </c>
      <c r="T20" s="18" t="s">
        <v>12</v>
      </c>
      <c r="U20" s="18" t="s">
        <v>12</v>
      </c>
    </row>
    <row r="21" spans="1:21" ht="17" thickBot="1" x14ac:dyDescent="0.25">
      <c r="A21" s="57" t="s">
        <v>92</v>
      </c>
      <c r="B21" s="19" t="s">
        <v>33</v>
      </c>
    </row>
    <row r="22" spans="1:21" x14ac:dyDescent="0.15">
      <c r="A22" s="20"/>
      <c r="B22" s="24" t="s">
        <v>166</v>
      </c>
      <c r="C22" s="4">
        <v>1</v>
      </c>
      <c r="D22" s="4">
        <v>319</v>
      </c>
      <c r="E22" s="4">
        <v>21.5</v>
      </c>
      <c r="F22" s="4">
        <v>1.5</v>
      </c>
      <c r="G22" s="4">
        <v>54.8</v>
      </c>
      <c r="H22" s="4">
        <v>30</v>
      </c>
      <c r="I22" s="4">
        <v>1225</v>
      </c>
      <c r="J22" s="4">
        <v>360</v>
      </c>
      <c r="K22" s="4">
        <v>130</v>
      </c>
      <c r="L22" s="4">
        <v>6.5</v>
      </c>
      <c r="M22" s="4">
        <v>3.4</v>
      </c>
      <c r="N22" s="4">
        <v>0.5</v>
      </c>
      <c r="O22" s="4">
        <v>0.17</v>
      </c>
      <c r="P22" s="4">
        <v>2.4</v>
      </c>
      <c r="Q22" s="4">
        <v>0</v>
      </c>
      <c r="R22" s="4">
        <v>0</v>
      </c>
      <c r="S22" s="4">
        <v>0.15</v>
      </c>
      <c r="T22" s="4">
        <v>0</v>
      </c>
      <c r="U22" s="4">
        <v>135</v>
      </c>
    </row>
    <row r="23" spans="1:21" x14ac:dyDescent="0.15">
      <c r="A23" s="21"/>
      <c r="B23" s="23" t="s">
        <v>167</v>
      </c>
      <c r="C23" s="4">
        <v>9.1999999999999993</v>
      </c>
      <c r="D23" s="4">
        <v>327</v>
      </c>
      <c r="E23" s="4">
        <v>23.2</v>
      </c>
      <c r="F23" s="4">
        <v>1.7</v>
      </c>
      <c r="G23" s="4">
        <v>54.8</v>
      </c>
      <c r="H23" s="4">
        <v>36</v>
      </c>
      <c r="I23" s="4">
        <v>700</v>
      </c>
      <c r="J23" s="4">
        <v>300</v>
      </c>
      <c r="K23" s="4">
        <v>70</v>
      </c>
      <c r="L23" s="4">
        <v>8</v>
      </c>
      <c r="M23" s="4">
        <v>3.4</v>
      </c>
      <c r="N23" s="4">
        <v>0.47</v>
      </c>
      <c r="O23" s="4">
        <v>0.2</v>
      </c>
      <c r="P23" s="4">
        <v>2.5</v>
      </c>
      <c r="Q23" s="4">
        <v>60</v>
      </c>
      <c r="R23" s="4">
        <v>0</v>
      </c>
      <c r="S23" s="23">
        <v>0.15</v>
      </c>
      <c r="T23" s="4">
        <v>0</v>
      </c>
      <c r="U23" s="4">
        <v>74</v>
      </c>
    </row>
    <row r="24" spans="1:21" x14ac:dyDescent="0.15">
      <c r="A24" s="21"/>
      <c r="B24" s="23" t="s">
        <v>168</v>
      </c>
      <c r="C24" s="4">
        <v>4.7</v>
      </c>
      <c r="D24" s="4">
        <v>356</v>
      </c>
      <c r="E24" s="4">
        <v>20.8</v>
      </c>
      <c r="F24" s="4">
        <v>5.5</v>
      </c>
      <c r="G24" s="4">
        <v>55.8</v>
      </c>
      <c r="H24" s="4">
        <v>34</v>
      </c>
      <c r="I24" s="4">
        <v>900</v>
      </c>
      <c r="J24" s="4">
        <v>335</v>
      </c>
      <c r="K24" s="4">
        <v>143</v>
      </c>
      <c r="L24" s="4">
        <v>7</v>
      </c>
      <c r="M24" s="4">
        <v>4.0999999999999996</v>
      </c>
      <c r="N24" s="4">
        <v>0.45</v>
      </c>
      <c r="O24" s="4">
        <v>0.15</v>
      </c>
      <c r="P24" s="4">
        <v>1.7</v>
      </c>
      <c r="Q24" s="4">
        <v>198</v>
      </c>
      <c r="R24" s="4">
        <v>0</v>
      </c>
      <c r="S24" s="4">
        <v>0.15</v>
      </c>
      <c r="T24" s="4">
        <v>0</v>
      </c>
      <c r="U24" s="4">
        <v>122</v>
      </c>
    </row>
    <row r="25" spans="1:21" x14ac:dyDescent="0.15">
      <c r="A25" s="21"/>
      <c r="B25" s="23" t="s">
        <v>169</v>
      </c>
      <c r="C25" s="4">
        <v>84</v>
      </c>
      <c r="D25" s="4">
        <v>71</v>
      </c>
      <c r="E25" s="4">
        <v>5</v>
      </c>
      <c r="F25" s="4">
        <v>1</v>
      </c>
      <c r="G25" s="4">
        <v>9</v>
      </c>
      <c r="H25" s="4">
        <v>3</v>
      </c>
      <c r="I25" s="4">
        <v>197</v>
      </c>
      <c r="J25" s="4">
        <v>91</v>
      </c>
      <c r="K25" s="4">
        <v>24</v>
      </c>
      <c r="L25" s="4">
        <v>1.6</v>
      </c>
      <c r="M25" s="4">
        <v>18</v>
      </c>
      <c r="N25" s="4">
        <v>0.26</v>
      </c>
      <c r="O25" s="4">
        <v>0.1</v>
      </c>
      <c r="P25" s="4">
        <v>1.7</v>
      </c>
      <c r="Q25" s="4">
        <v>360</v>
      </c>
      <c r="R25" s="4">
        <v>0</v>
      </c>
      <c r="S25" s="4">
        <v>0.39</v>
      </c>
      <c r="T25" s="4">
        <v>0</v>
      </c>
      <c r="U25" s="4">
        <v>26</v>
      </c>
    </row>
    <row r="26" spans="1:21" x14ac:dyDescent="0.15">
      <c r="A26" s="21"/>
      <c r="B26" s="23" t="s">
        <v>170</v>
      </c>
      <c r="C26" s="4">
        <v>76</v>
      </c>
      <c r="D26" s="4">
        <v>101</v>
      </c>
      <c r="E26" s="4">
        <v>7</v>
      </c>
      <c r="F26" s="4">
        <v>0</v>
      </c>
      <c r="G26" s="4">
        <v>16</v>
      </c>
      <c r="H26" s="4">
        <v>4</v>
      </c>
      <c r="I26" s="4">
        <v>362</v>
      </c>
      <c r="J26" s="4">
        <v>84</v>
      </c>
      <c r="K26" s="4">
        <v>71</v>
      </c>
      <c r="L26" s="4">
        <v>2.8</v>
      </c>
      <c r="M26" s="4">
        <v>0</v>
      </c>
      <c r="N26" s="4">
        <v>0.1</v>
      </c>
      <c r="O26" s="4">
        <v>0.04</v>
      </c>
      <c r="P26" s="4">
        <v>0.1</v>
      </c>
      <c r="Q26" s="4">
        <v>0</v>
      </c>
      <c r="R26" s="4">
        <v>0</v>
      </c>
      <c r="S26" s="4">
        <v>0.23</v>
      </c>
      <c r="T26" s="4">
        <v>0</v>
      </c>
      <c r="U26" s="4">
        <v>39</v>
      </c>
    </row>
    <row r="27" spans="1:21" x14ac:dyDescent="0.15">
      <c r="A27" s="21"/>
      <c r="B27" s="23" t="s">
        <v>172</v>
      </c>
      <c r="C27" s="4">
        <v>79.37</v>
      </c>
      <c r="D27" s="4">
        <v>74</v>
      </c>
      <c r="E27" s="4">
        <v>6.28</v>
      </c>
      <c r="F27" s="4">
        <v>0.21</v>
      </c>
      <c r="G27" s="4">
        <v>11.4</v>
      </c>
      <c r="H27" s="4">
        <v>446</v>
      </c>
      <c r="I27" s="4">
        <v>143</v>
      </c>
      <c r="J27" s="4">
        <v>58</v>
      </c>
      <c r="K27" s="4">
        <v>18.89</v>
      </c>
      <c r="L27" s="4">
        <v>1.58</v>
      </c>
      <c r="M27" s="4">
        <v>0</v>
      </c>
      <c r="N27" s="4">
        <v>7.0000000000000007E-2</v>
      </c>
      <c r="O27" s="4">
        <v>0.06</v>
      </c>
      <c r="P27" s="4">
        <v>0.3</v>
      </c>
      <c r="Q27" s="4">
        <v>0.83</v>
      </c>
      <c r="R27" s="4">
        <v>0</v>
      </c>
      <c r="S27" s="4">
        <v>0.23</v>
      </c>
      <c r="T27" s="4">
        <v>0</v>
      </c>
      <c r="U27" s="4">
        <v>15.4</v>
      </c>
    </row>
    <row r="28" spans="1:21" x14ac:dyDescent="0.15">
      <c r="A28" s="21"/>
      <c r="B28" s="23" t="s">
        <v>171</v>
      </c>
      <c r="C28" s="4">
        <v>68</v>
      </c>
      <c r="D28" s="4">
        <v>154</v>
      </c>
      <c r="E28" s="4">
        <v>9</v>
      </c>
      <c r="F28" s="4">
        <v>3</v>
      </c>
      <c r="G28" s="4">
        <v>19</v>
      </c>
      <c r="H28" s="4">
        <v>6</v>
      </c>
      <c r="I28" s="4">
        <v>335</v>
      </c>
      <c r="J28" s="4">
        <v>132</v>
      </c>
      <c r="K28" s="4">
        <v>56</v>
      </c>
      <c r="L28" s="4">
        <v>2.8</v>
      </c>
      <c r="M28" s="4">
        <v>0</v>
      </c>
      <c r="N28" s="4">
        <v>0</v>
      </c>
      <c r="O28" s="4">
        <v>0</v>
      </c>
      <c r="P28" s="4">
        <v>0</v>
      </c>
      <c r="Q28" s="4">
        <v>0</v>
      </c>
      <c r="R28" s="4">
        <v>0</v>
      </c>
      <c r="S28" s="4">
        <v>0.23</v>
      </c>
      <c r="T28" s="4">
        <v>0</v>
      </c>
      <c r="U28" s="4">
        <v>0</v>
      </c>
    </row>
    <row r="29" spans="1:21" x14ac:dyDescent="0.15">
      <c r="A29" s="21"/>
      <c r="B29" s="4"/>
      <c r="C29" s="4"/>
      <c r="D29" s="4"/>
      <c r="E29" s="4"/>
      <c r="F29" s="4"/>
      <c r="G29" s="4"/>
      <c r="H29" s="4"/>
      <c r="I29" s="4"/>
      <c r="J29" s="4"/>
      <c r="K29" s="4"/>
      <c r="L29" s="4"/>
      <c r="M29" s="4"/>
      <c r="N29" s="4"/>
      <c r="O29" s="4"/>
      <c r="P29" s="4"/>
      <c r="Q29" s="4"/>
      <c r="R29" s="4"/>
      <c r="S29" s="4"/>
      <c r="T29" s="4"/>
      <c r="U29" s="4"/>
    </row>
    <row r="30" spans="1:21" x14ac:dyDescent="0.15">
      <c r="A30" s="21"/>
      <c r="B30" s="4"/>
      <c r="C30" s="4"/>
      <c r="D30" s="4"/>
      <c r="E30" s="4"/>
      <c r="F30" s="4"/>
      <c r="G30" s="4"/>
      <c r="H30" s="4"/>
      <c r="I30" s="4"/>
      <c r="J30" s="4"/>
      <c r="K30" s="4"/>
      <c r="L30" s="4"/>
      <c r="M30" s="4"/>
      <c r="N30" s="4"/>
      <c r="O30" s="4"/>
      <c r="P30" s="4"/>
      <c r="Q30" s="4"/>
      <c r="R30" s="4"/>
      <c r="S30" s="4"/>
      <c r="T30" s="4"/>
      <c r="U30" s="4"/>
    </row>
    <row r="31" spans="1:21" x14ac:dyDescent="0.15">
      <c r="A31" s="21"/>
      <c r="B31" s="4"/>
      <c r="C31" s="4"/>
      <c r="D31" s="4"/>
      <c r="E31" s="4"/>
      <c r="F31" s="4"/>
      <c r="G31" s="4"/>
      <c r="H31" s="4"/>
      <c r="I31" s="4"/>
      <c r="J31" s="4"/>
      <c r="K31" s="4"/>
      <c r="L31" s="4"/>
      <c r="M31" s="4"/>
      <c r="N31" s="4"/>
      <c r="O31" s="4"/>
      <c r="P31" s="4"/>
      <c r="Q31" s="4"/>
      <c r="R31" s="4"/>
      <c r="S31" s="4"/>
      <c r="T31" s="4"/>
      <c r="U31" s="4"/>
    </row>
    <row r="32" spans="1:21" x14ac:dyDescent="0.15">
      <c r="A32" s="21"/>
      <c r="B32" s="4"/>
      <c r="C32" s="4"/>
      <c r="D32" s="4"/>
      <c r="E32" s="4"/>
      <c r="F32" s="4"/>
      <c r="G32" s="4"/>
      <c r="H32" s="4"/>
      <c r="I32" s="4"/>
      <c r="J32" s="4"/>
      <c r="K32" s="4"/>
      <c r="L32" s="4"/>
      <c r="M32" s="4"/>
      <c r="N32" s="4"/>
      <c r="O32" s="4"/>
      <c r="P32" s="4"/>
      <c r="Q32" s="4"/>
      <c r="R32" s="4"/>
      <c r="S32" s="4"/>
      <c r="T32" s="4"/>
      <c r="U32" s="4"/>
    </row>
    <row r="33" spans="1:21" ht="14" thickBot="1" x14ac:dyDescent="0.2">
      <c r="A33" s="22"/>
      <c r="B33" s="61"/>
      <c r="C33" s="61"/>
      <c r="D33" s="61"/>
      <c r="E33" s="61"/>
      <c r="F33" s="61"/>
      <c r="G33" s="61"/>
      <c r="H33" s="61"/>
      <c r="I33" s="61"/>
      <c r="J33" s="61"/>
      <c r="K33" s="61"/>
      <c r="L33" s="61"/>
      <c r="M33" s="61"/>
      <c r="N33" s="61"/>
      <c r="O33" s="61"/>
      <c r="P33" s="61"/>
      <c r="Q33" s="61"/>
      <c r="R33" s="61"/>
      <c r="S33" s="61"/>
      <c r="T33" s="61"/>
      <c r="U33" s="61"/>
    </row>
  </sheetData>
  <phoneticPr fontId="0" type="noConversion"/>
  <pageMargins left="0.75" right="0.75" top="1" bottom="1" header="0" footer="0"/>
  <pageSetup paperSize="9" orientation="portrait"/>
  <headerFooter alignWithMargins="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6"/>
  <sheetViews>
    <sheetView zoomScale="110" zoomScaleNormal="90" zoomScalePageLayoutView="90" workbookViewId="0">
      <selection activeCell="A4" sqref="A4"/>
    </sheetView>
  </sheetViews>
  <sheetFormatPr baseColWidth="10" defaultRowHeight="13" x14ac:dyDescent="0.15"/>
  <cols>
    <col min="2" max="2" width="65.6640625" customWidth="1"/>
    <col min="7" max="7" width="13.5" customWidth="1"/>
    <col min="19" max="21" width="16.6640625" customWidth="1"/>
  </cols>
  <sheetData>
    <row r="1" spans="1:21" s="1" customFormat="1" x14ac:dyDescent="0.15">
      <c r="C1" s="17" t="s">
        <v>0</v>
      </c>
      <c r="D1" s="17" t="s">
        <v>1</v>
      </c>
      <c r="E1" s="17" t="s">
        <v>2</v>
      </c>
      <c r="F1" s="17" t="s">
        <v>3</v>
      </c>
      <c r="G1" s="17" t="s">
        <v>4</v>
      </c>
      <c r="H1" s="17" t="s">
        <v>5</v>
      </c>
      <c r="I1" s="17" t="s">
        <v>6</v>
      </c>
      <c r="J1" s="17" t="s">
        <v>7</v>
      </c>
      <c r="K1" s="17" t="s">
        <v>8</v>
      </c>
      <c r="L1" s="17" t="s">
        <v>13</v>
      </c>
      <c r="M1" s="17" t="s">
        <v>14</v>
      </c>
      <c r="N1" s="17" t="s">
        <v>15</v>
      </c>
      <c r="O1" s="17" t="s">
        <v>16</v>
      </c>
      <c r="P1" s="17" t="s">
        <v>17</v>
      </c>
      <c r="Q1" s="17" t="s">
        <v>18</v>
      </c>
      <c r="R1" s="17" t="s">
        <v>19</v>
      </c>
      <c r="S1" s="17" t="s">
        <v>44</v>
      </c>
      <c r="T1" s="17" t="s">
        <v>66</v>
      </c>
      <c r="U1" s="17" t="s">
        <v>70</v>
      </c>
    </row>
    <row r="2" spans="1:21" s="1" customFormat="1" ht="14" thickBot="1" x14ac:dyDescent="0.2">
      <c r="C2" s="18" t="s">
        <v>9</v>
      </c>
      <c r="D2" s="18" t="s">
        <v>10</v>
      </c>
      <c r="E2" s="18" t="s">
        <v>9</v>
      </c>
      <c r="F2" s="18" t="s">
        <v>11</v>
      </c>
      <c r="G2" s="18" t="s">
        <v>9</v>
      </c>
      <c r="H2" s="18" t="s">
        <v>12</v>
      </c>
      <c r="I2" s="18" t="s">
        <v>12</v>
      </c>
      <c r="J2" s="18" t="s">
        <v>12</v>
      </c>
      <c r="K2" s="18" t="s">
        <v>12</v>
      </c>
      <c r="L2" s="18" t="s">
        <v>12</v>
      </c>
      <c r="M2" s="18" t="s">
        <v>12</v>
      </c>
      <c r="N2" s="18" t="s">
        <v>12</v>
      </c>
      <c r="O2" s="18" t="s">
        <v>12</v>
      </c>
      <c r="P2" s="18" t="s">
        <v>12</v>
      </c>
      <c r="Q2" s="18" t="s">
        <v>20</v>
      </c>
      <c r="R2" s="18" t="s">
        <v>20</v>
      </c>
      <c r="S2" s="18" t="s">
        <v>46</v>
      </c>
      <c r="T2" s="18" t="s">
        <v>12</v>
      </c>
      <c r="U2" s="18" t="s">
        <v>12</v>
      </c>
    </row>
    <row r="3" spans="1:21" ht="17" thickBot="1" x14ac:dyDescent="0.25">
      <c r="A3" s="57" t="s">
        <v>92</v>
      </c>
      <c r="B3" s="19" t="s">
        <v>34</v>
      </c>
    </row>
    <row r="4" spans="1:21" x14ac:dyDescent="0.15">
      <c r="A4" s="25">
        <v>250</v>
      </c>
      <c r="B4" s="24" t="s">
        <v>173</v>
      </c>
      <c r="C4" s="4">
        <v>79</v>
      </c>
      <c r="D4" s="4">
        <v>82</v>
      </c>
      <c r="E4" s="4">
        <v>2.2000000000000002</v>
      </c>
      <c r="F4" s="4">
        <v>0.2</v>
      </c>
      <c r="G4" s="4">
        <v>18</v>
      </c>
      <c r="H4" s="4">
        <v>7</v>
      </c>
      <c r="I4" s="4">
        <v>330</v>
      </c>
      <c r="J4" s="4">
        <v>29</v>
      </c>
      <c r="K4" s="4">
        <v>10</v>
      </c>
      <c r="L4" s="4">
        <v>0.8</v>
      </c>
      <c r="M4" s="4">
        <v>4</v>
      </c>
      <c r="N4" s="4">
        <v>0.1</v>
      </c>
      <c r="O4" s="4">
        <v>0.04</v>
      </c>
      <c r="P4" s="4">
        <v>1.3</v>
      </c>
      <c r="Q4" s="4">
        <v>0</v>
      </c>
      <c r="R4" s="4">
        <v>0</v>
      </c>
      <c r="S4" s="4">
        <v>0.1</v>
      </c>
      <c r="T4" s="4">
        <v>0</v>
      </c>
      <c r="U4" s="4">
        <v>20</v>
      </c>
    </row>
    <row r="5" spans="1:21" x14ac:dyDescent="0.15">
      <c r="A5" s="26"/>
      <c r="B5" s="23" t="s">
        <v>174</v>
      </c>
      <c r="C5" s="4">
        <v>90</v>
      </c>
      <c r="D5" s="4">
        <v>30</v>
      </c>
      <c r="E5" s="4">
        <v>0.9</v>
      </c>
      <c r="F5" s="4">
        <v>0.3</v>
      </c>
      <c r="G5" s="4">
        <v>6</v>
      </c>
      <c r="H5" s="4">
        <v>50</v>
      </c>
      <c r="I5" s="4">
        <v>300</v>
      </c>
      <c r="J5" s="4">
        <v>33</v>
      </c>
      <c r="K5" s="4">
        <v>34</v>
      </c>
      <c r="L5" s="4">
        <v>0.5</v>
      </c>
      <c r="M5" s="4">
        <v>8</v>
      </c>
      <c r="N5" s="4">
        <v>0.05</v>
      </c>
      <c r="O5" s="4">
        <v>0.05</v>
      </c>
      <c r="P5" s="4">
        <v>0.5</v>
      </c>
      <c r="Q5" s="4">
        <v>10000</v>
      </c>
      <c r="R5" s="4">
        <v>0</v>
      </c>
      <c r="S5" s="4">
        <v>0.1</v>
      </c>
      <c r="T5" s="4">
        <v>0</v>
      </c>
      <c r="U5" s="4">
        <v>10</v>
      </c>
    </row>
    <row r="6" spans="1:21" x14ac:dyDescent="0.15">
      <c r="A6" s="26"/>
      <c r="B6" s="23" t="s">
        <v>175</v>
      </c>
      <c r="C6" s="4">
        <v>93.3</v>
      </c>
      <c r="D6" s="4">
        <v>20</v>
      </c>
      <c r="E6" s="4">
        <v>1.4</v>
      </c>
      <c r="F6" s="4">
        <v>0.2</v>
      </c>
      <c r="G6" s="4">
        <v>3.2</v>
      </c>
      <c r="H6" s="4">
        <v>15</v>
      </c>
      <c r="I6" s="4">
        <v>225</v>
      </c>
      <c r="J6" s="4">
        <v>50</v>
      </c>
      <c r="K6" s="4">
        <v>40</v>
      </c>
      <c r="L6" s="4">
        <v>0.5</v>
      </c>
      <c r="M6" s="4">
        <v>30</v>
      </c>
      <c r="N6" s="4">
        <v>0.05</v>
      </c>
      <c r="O6" s="4">
        <v>0.04</v>
      </c>
      <c r="P6" s="4">
        <v>0.03</v>
      </c>
      <c r="Q6" s="4">
        <v>300</v>
      </c>
      <c r="R6" s="4">
        <v>0</v>
      </c>
      <c r="S6" s="4">
        <v>0.13</v>
      </c>
      <c r="T6" s="4">
        <v>0</v>
      </c>
      <c r="U6" s="4">
        <v>13</v>
      </c>
    </row>
    <row r="7" spans="1:21" x14ac:dyDescent="0.15">
      <c r="A7" s="26"/>
      <c r="B7" s="23" t="s">
        <v>176</v>
      </c>
      <c r="C7" s="4">
        <v>89</v>
      </c>
      <c r="D7" s="4">
        <v>34</v>
      </c>
      <c r="E7" s="4">
        <v>2.8</v>
      </c>
      <c r="F7" s="4">
        <v>0.4</v>
      </c>
      <c r="G7" s="4">
        <v>7</v>
      </c>
      <c r="H7" s="4">
        <v>33</v>
      </c>
      <c r="I7" s="4">
        <v>325</v>
      </c>
      <c r="J7" s="4">
        <v>66</v>
      </c>
      <c r="K7" s="4">
        <v>48</v>
      </c>
      <c r="L7" s="4">
        <v>0.7</v>
      </c>
      <c r="M7" s="4">
        <v>89</v>
      </c>
      <c r="N7" s="4">
        <v>0.06</v>
      </c>
      <c r="O7" s="4">
        <v>0.12</v>
      </c>
      <c r="P7" s="4">
        <v>0.63</v>
      </c>
      <c r="Q7" s="4">
        <v>3000</v>
      </c>
      <c r="R7" s="4">
        <v>0</v>
      </c>
      <c r="S7" s="4">
        <v>0.16</v>
      </c>
      <c r="T7" s="4">
        <v>0</v>
      </c>
      <c r="U7" s="4">
        <v>21</v>
      </c>
    </row>
    <row r="8" spans="1:21" x14ac:dyDescent="0.15">
      <c r="A8" s="26"/>
      <c r="B8" s="23" t="s">
        <v>177</v>
      </c>
      <c r="C8" s="4">
        <v>95.2</v>
      </c>
      <c r="D8" s="4">
        <v>17</v>
      </c>
      <c r="E8" s="4">
        <v>1.4</v>
      </c>
      <c r="F8" s="4">
        <v>0.3</v>
      </c>
      <c r="G8" s="4">
        <v>2</v>
      </c>
      <c r="H8" s="4">
        <v>8</v>
      </c>
      <c r="I8" s="4">
        <v>300</v>
      </c>
      <c r="J8" s="4">
        <v>30</v>
      </c>
      <c r="K8" s="4">
        <v>54</v>
      </c>
      <c r="L8" s="4">
        <v>1</v>
      </c>
      <c r="M8" s="4">
        <v>12.2</v>
      </c>
      <c r="N8" s="4">
        <v>7.0000000000000007E-2</v>
      </c>
      <c r="O8" s="4">
        <v>0.1</v>
      </c>
      <c r="P8" s="4">
        <v>0.4</v>
      </c>
      <c r="Q8" s="4">
        <v>1100</v>
      </c>
      <c r="R8" s="4">
        <v>0</v>
      </c>
      <c r="S8" s="4">
        <v>0.35</v>
      </c>
      <c r="T8" s="4">
        <v>0</v>
      </c>
      <c r="U8" s="4">
        <v>10</v>
      </c>
    </row>
    <row r="9" spans="1:21" x14ac:dyDescent="0.15">
      <c r="A9" s="26"/>
      <c r="B9" s="23" t="s">
        <v>178</v>
      </c>
      <c r="C9" s="4">
        <v>93</v>
      </c>
      <c r="D9" s="4">
        <v>20</v>
      </c>
      <c r="E9" s="4">
        <v>2.2000000000000002</v>
      </c>
      <c r="F9" s="4">
        <v>0.12</v>
      </c>
      <c r="G9" s="4">
        <v>3.88</v>
      </c>
      <c r="H9" s="4">
        <v>2</v>
      </c>
      <c r="I9" s="4">
        <v>202</v>
      </c>
      <c r="J9" s="4">
        <v>52</v>
      </c>
      <c r="K9" s="4">
        <v>24</v>
      </c>
      <c r="L9" s="4">
        <v>2.14</v>
      </c>
      <c r="M9" s="4">
        <v>5.6</v>
      </c>
      <c r="N9" s="4">
        <v>0.14000000000000001</v>
      </c>
      <c r="O9" s="4">
        <v>0.14000000000000001</v>
      </c>
      <c r="P9" s="4">
        <v>0.97</v>
      </c>
      <c r="Q9" s="4">
        <v>0</v>
      </c>
      <c r="R9" s="4">
        <v>0</v>
      </c>
      <c r="S9" s="4">
        <v>0.5</v>
      </c>
      <c r="T9" s="4">
        <v>0</v>
      </c>
      <c r="U9" s="4">
        <v>14</v>
      </c>
    </row>
    <row r="10" spans="1:21" x14ac:dyDescent="0.15">
      <c r="A10" s="26"/>
      <c r="B10" s="23" t="s">
        <v>179</v>
      </c>
      <c r="C10" s="4">
        <v>94.5</v>
      </c>
      <c r="D10" s="4">
        <v>19</v>
      </c>
      <c r="E10" s="4">
        <v>0.9</v>
      </c>
      <c r="F10" s="4">
        <v>0.2</v>
      </c>
      <c r="G10" s="4">
        <v>3.5</v>
      </c>
      <c r="H10" s="4">
        <v>5</v>
      </c>
      <c r="I10" s="4">
        <v>250</v>
      </c>
      <c r="J10" s="4">
        <v>25</v>
      </c>
      <c r="K10" s="4">
        <v>11</v>
      </c>
      <c r="L10" s="4">
        <v>0.7</v>
      </c>
      <c r="M10" s="4">
        <v>26.6</v>
      </c>
      <c r="N10" s="4">
        <v>7.0000000000000007E-2</v>
      </c>
      <c r="O10" s="4">
        <v>0.04</v>
      </c>
      <c r="P10" s="4">
        <v>0.6</v>
      </c>
      <c r="Q10" s="4">
        <v>600</v>
      </c>
      <c r="R10" s="4">
        <v>0</v>
      </c>
      <c r="S10" s="4">
        <v>0.2</v>
      </c>
      <c r="T10" s="4">
        <v>0</v>
      </c>
      <c r="U10" s="4">
        <v>10</v>
      </c>
    </row>
    <row r="11" spans="1:21" x14ac:dyDescent="0.15">
      <c r="A11" s="26"/>
      <c r="B11" s="23" t="s">
        <v>180</v>
      </c>
      <c r="C11" s="4">
        <v>80.099999999999994</v>
      </c>
      <c r="D11" s="4">
        <v>72</v>
      </c>
      <c r="E11" s="4">
        <v>5.0999999999999996</v>
      </c>
      <c r="F11" s="4">
        <v>0.4</v>
      </c>
      <c r="G11" s="4">
        <v>12</v>
      </c>
      <c r="H11" s="4">
        <v>4</v>
      </c>
      <c r="I11" s="4">
        <v>250</v>
      </c>
      <c r="J11" s="4">
        <v>100</v>
      </c>
      <c r="K11" s="4">
        <v>25</v>
      </c>
      <c r="L11" s="4">
        <v>1.5</v>
      </c>
      <c r="M11" s="4">
        <v>13</v>
      </c>
      <c r="N11" s="4">
        <v>0.25</v>
      </c>
      <c r="O11" s="4">
        <v>0.15</v>
      </c>
      <c r="P11" s="4">
        <v>1.5</v>
      </c>
      <c r="Q11" s="4">
        <v>300</v>
      </c>
      <c r="R11" s="4">
        <v>0</v>
      </c>
      <c r="S11" s="4">
        <v>0.25</v>
      </c>
      <c r="T11" s="4">
        <v>0</v>
      </c>
      <c r="U11" s="4">
        <v>34</v>
      </c>
    </row>
    <row r="12" spans="1:21" x14ac:dyDescent="0.15">
      <c r="A12" s="26">
        <v>200</v>
      </c>
      <c r="B12" s="23" t="s">
        <v>181</v>
      </c>
      <c r="C12" s="4">
        <v>91.5</v>
      </c>
      <c r="D12" s="4">
        <v>31</v>
      </c>
      <c r="E12" s="4">
        <v>2</v>
      </c>
      <c r="F12" s="4">
        <v>0.2</v>
      </c>
      <c r="G12" s="4">
        <v>5.4</v>
      </c>
      <c r="H12" s="4">
        <v>3</v>
      </c>
      <c r="I12" s="4">
        <v>212</v>
      </c>
      <c r="J12" s="4">
        <v>28</v>
      </c>
      <c r="K12" s="4">
        <v>40</v>
      </c>
      <c r="L12" s="4">
        <v>0.9</v>
      </c>
      <c r="M12" s="4">
        <v>9</v>
      </c>
      <c r="N12" s="4">
        <v>0.06</v>
      </c>
      <c r="O12" s="4">
        <v>0.08</v>
      </c>
      <c r="P12" s="4">
        <v>0.5</v>
      </c>
      <c r="Q12" s="4">
        <v>400</v>
      </c>
      <c r="R12" s="4">
        <v>0</v>
      </c>
      <c r="S12" s="4">
        <v>0.25</v>
      </c>
      <c r="T12" s="4">
        <v>0</v>
      </c>
      <c r="U12" s="4">
        <v>25</v>
      </c>
    </row>
    <row r="13" spans="1:21" x14ac:dyDescent="0.15">
      <c r="A13" s="26"/>
      <c r="B13" s="23" t="s">
        <v>182</v>
      </c>
      <c r="C13" s="4">
        <v>91</v>
      </c>
      <c r="D13" s="4">
        <v>34</v>
      </c>
      <c r="E13" s="4">
        <v>1.3</v>
      </c>
      <c r="F13" s="4">
        <v>0.2</v>
      </c>
      <c r="G13" s="4">
        <v>6.8</v>
      </c>
      <c r="H13" s="4">
        <v>6</v>
      </c>
      <c r="I13" s="4">
        <v>160</v>
      </c>
      <c r="J13" s="4">
        <v>36</v>
      </c>
      <c r="K13" s="4">
        <v>30</v>
      </c>
      <c r="L13" s="4">
        <v>0.4</v>
      </c>
      <c r="M13" s="4">
        <v>12</v>
      </c>
      <c r="N13" s="4">
        <v>0.05</v>
      </c>
      <c r="O13" s="4">
        <v>0.05</v>
      </c>
      <c r="P13" s="4">
        <v>0.4</v>
      </c>
      <c r="Q13" s="4">
        <v>20</v>
      </c>
      <c r="R13" s="4">
        <v>0</v>
      </c>
      <c r="S13" s="4">
        <v>0.1</v>
      </c>
      <c r="T13" s="4">
        <v>0</v>
      </c>
      <c r="U13" s="4">
        <v>7</v>
      </c>
    </row>
    <row r="14" spans="1:21" x14ac:dyDescent="0.15">
      <c r="A14" s="21"/>
      <c r="B14" s="23" t="s">
        <v>183</v>
      </c>
      <c r="C14" s="4">
        <v>93</v>
      </c>
      <c r="D14" s="4">
        <v>21</v>
      </c>
      <c r="E14" s="4">
        <v>1.1000000000000001</v>
      </c>
      <c r="F14" s="4">
        <v>0.3</v>
      </c>
      <c r="G14" s="4">
        <v>3.5</v>
      </c>
      <c r="H14" s="4">
        <v>5</v>
      </c>
      <c r="I14" s="4">
        <v>205</v>
      </c>
      <c r="J14" s="4">
        <v>26</v>
      </c>
      <c r="K14" s="4">
        <v>9</v>
      </c>
      <c r="L14" s="4">
        <v>0.6</v>
      </c>
      <c r="M14" s="4">
        <v>126</v>
      </c>
      <c r="N14" s="4">
        <v>0.06</v>
      </c>
      <c r="O14" s="4">
        <v>0.05</v>
      </c>
      <c r="P14" s="4">
        <v>0.7</v>
      </c>
      <c r="Q14" s="4">
        <v>750</v>
      </c>
      <c r="R14" s="4">
        <v>0</v>
      </c>
      <c r="S14" s="4">
        <v>0.18</v>
      </c>
      <c r="T14" s="4">
        <v>0</v>
      </c>
      <c r="U14" s="4">
        <v>10</v>
      </c>
    </row>
    <row r="15" spans="1:21" x14ac:dyDescent="0.15">
      <c r="A15" s="26"/>
      <c r="B15" s="23" t="s">
        <v>184</v>
      </c>
      <c r="C15" s="4">
        <v>93.5</v>
      </c>
      <c r="D15" s="4">
        <v>19</v>
      </c>
      <c r="E15" s="4">
        <v>1</v>
      </c>
      <c r="F15" s="4">
        <v>0.2</v>
      </c>
      <c r="G15" s="4">
        <v>3.2</v>
      </c>
      <c r="H15" s="4">
        <v>5</v>
      </c>
      <c r="I15" s="4">
        <v>210</v>
      </c>
      <c r="J15" s="4">
        <v>20</v>
      </c>
      <c r="K15" s="4">
        <v>12</v>
      </c>
      <c r="L15" s="4">
        <v>0.4</v>
      </c>
      <c r="M15" s="4">
        <v>1.5</v>
      </c>
      <c r="N15" s="4">
        <v>0.06</v>
      </c>
      <c r="O15" s="4">
        <v>0.03</v>
      </c>
      <c r="P15" s="4">
        <v>0.6</v>
      </c>
      <c r="Q15" s="4">
        <v>26</v>
      </c>
      <c r="R15" s="4">
        <v>0</v>
      </c>
      <c r="S15" s="4">
        <v>0.1</v>
      </c>
      <c r="T15" s="4">
        <v>0</v>
      </c>
      <c r="U15" s="4">
        <v>12</v>
      </c>
    </row>
    <row r="16" spans="1:21" x14ac:dyDescent="0.15">
      <c r="A16" s="21"/>
      <c r="B16" s="23" t="s">
        <v>185</v>
      </c>
      <c r="C16" s="4">
        <v>92</v>
      </c>
      <c r="D16" s="4">
        <v>33</v>
      </c>
      <c r="E16" s="4">
        <v>3</v>
      </c>
      <c r="F16" s="4">
        <v>0.3</v>
      </c>
      <c r="G16" s="4">
        <v>4</v>
      </c>
      <c r="H16" s="4">
        <v>15</v>
      </c>
      <c r="I16" s="4">
        <v>414</v>
      </c>
      <c r="J16" s="4">
        <v>116</v>
      </c>
      <c r="K16" s="4">
        <v>6</v>
      </c>
      <c r="L16" s="4">
        <v>0.8</v>
      </c>
      <c r="M16" s="4">
        <v>4</v>
      </c>
      <c r="N16" s="4">
        <v>0.1</v>
      </c>
      <c r="O16" s="4">
        <v>0.31</v>
      </c>
      <c r="P16" s="4">
        <v>5.3</v>
      </c>
      <c r="Q16" s="4">
        <v>0</v>
      </c>
      <c r="R16" s="4">
        <v>0</v>
      </c>
      <c r="S16" s="4">
        <v>0.5</v>
      </c>
      <c r="T16" s="4">
        <v>0</v>
      </c>
      <c r="U16" s="4">
        <v>12</v>
      </c>
    </row>
    <row r="17" spans="1:21" x14ac:dyDescent="0.15">
      <c r="A17" s="21"/>
      <c r="B17" s="76" t="s">
        <v>186</v>
      </c>
      <c r="C17" s="4">
        <v>95</v>
      </c>
      <c r="D17" s="4">
        <v>20</v>
      </c>
      <c r="E17" s="4">
        <v>1</v>
      </c>
      <c r="F17" s="4">
        <v>0</v>
      </c>
      <c r="G17" s="4">
        <v>3</v>
      </c>
      <c r="H17" s="4">
        <v>14</v>
      </c>
      <c r="I17" s="4">
        <v>203</v>
      </c>
      <c r="J17" s="4">
        <v>24</v>
      </c>
      <c r="K17" s="4">
        <v>22</v>
      </c>
      <c r="L17" s="4">
        <v>0.5</v>
      </c>
      <c r="M17" s="4">
        <v>11</v>
      </c>
      <c r="N17" s="4">
        <v>0.04</v>
      </c>
      <c r="O17" s="4">
        <v>0.04</v>
      </c>
      <c r="P17" s="4">
        <v>0.5</v>
      </c>
      <c r="Q17" s="4">
        <v>317</v>
      </c>
      <c r="R17" s="4">
        <v>0</v>
      </c>
      <c r="S17" s="4">
        <v>0.24</v>
      </c>
      <c r="T17" s="4">
        <v>0</v>
      </c>
      <c r="U17" s="4">
        <v>10</v>
      </c>
    </row>
    <row r="18" spans="1:21" x14ac:dyDescent="0.15">
      <c r="A18" s="21"/>
      <c r="B18" s="76" t="s">
        <v>233</v>
      </c>
      <c r="C18" s="4">
        <v>88.3</v>
      </c>
      <c r="D18" s="4">
        <v>58</v>
      </c>
      <c r="E18" s="4">
        <v>1.71</v>
      </c>
      <c r="F18" s="4">
        <v>3.15</v>
      </c>
      <c r="G18" s="4">
        <v>4.87</v>
      </c>
      <c r="H18" s="4">
        <v>273</v>
      </c>
      <c r="I18" s="4">
        <v>271</v>
      </c>
      <c r="J18" s="4">
        <v>12</v>
      </c>
      <c r="K18" s="4">
        <v>59</v>
      </c>
      <c r="L18" s="4">
        <v>1</v>
      </c>
      <c r="M18" s="4">
        <v>12</v>
      </c>
      <c r="N18" s="4">
        <v>0.05</v>
      </c>
      <c r="O18" s="4">
        <v>0.04</v>
      </c>
      <c r="P18" s="4">
        <v>0.5</v>
      </c>
      <c r="Q18" s="4">
        <v>317</v>
      </c>
      <c r="R18" s="4">
        <v>0</v>
      </c>
      <c r="S18" s="4">
        <v>0.27</v>
      </c>
      <c r="T18" s="4">
        <v>0</v>
      </c>
      <c r="U18" s="4">
        <v>25</v>
      </c>
    </row>
    <row r="19" spans="1:21" x14ac:dyDescent="0.15">
      <c r="A19" s="21"/>
      <c r="B19" s="76" t="s">
        <v>234</v>
      </c>
      <c r="C19" s="4">
        <v>89.6</v>
      </c>
      <c r="D19" s="4">
        <v>45</v>
      </c>
      <c r="E19" s="4">
        <v>3.3</v>
      </c>
      <c r="F19" s="4">
        <v>0</v>
      </c>
      <c r="G19" s="4">
        <v>6.6</v>
      </c>
      <c r="H19" s="4">
        <v>96</v>
      </c>
      <c r="I19" s="4">
        <v>130</v>
      </c>
      <c r="J19" s="4">
        <v>57</v>
      </c>
      <c r="K19" s="4">
        <v>35</v>
      </c>
      <c r="L19" s="4">
        <v>0.8</v>
      </c>
      <c r="M19" s="4">
        <v>13</v>
      </c>
      <c r="N19" s="4">
        <v>0.12</v>
      </c>
      <c r="O19" s="4">
        <v>0.09</v>
      </c>
      <c r="P19" s="4">
        <v>0.5</v>
      </c>
      <c r="Q19" s="4">
        <v>420</v>
      </c>
      <c r="R19" s="4">
        <v>0</v>
      </c>
      <c r="S19" s="4">
        <v>0.19</v>
      </c>
      <c r="T19" s="4">
        <v>0</v>
      </c>
      <c r="U19" s="4">
        <v>16</v>
      </c>
    </row>
    <row r="20" spans="1:21" ht="14" thickBot="1" x14ac:dyDescent="0.2">
      <c r="A20" s="73"/>
      <c r="B20" s="74" t="s">
        <v>235</v>
      </c>
      <c r="C20" s="75">
        <v>94.8</v>
      </c>
      <c r="D20" s="75">
        <v>34</v>
      </c>
      <c r="E20" s="75">
        <v>0.6</v>
      </c>
      <c r="F20" s="75">
        <v>2.6</v>
      </c>
      <c r="G20" s="75">
        <v>1.6</v>
      </c>
      <c r="H20" s="75">
        <v>303</v>
      </c>
      <c r="I20" s="75">
        <v>92</v>
      </c>
      <c r="J20" s="75">
        <v>15</v>
      </c>
      <c r="K20" s="75">
        <v>10</v>
      </c>
      <c r="L20" s="75">
        <v>0.4</v>
      </c>
      <c r="M20" s="75">
        <v>2.9</v>
      </c>
      <c r="N20" s="75">
        <v>0.02</v>
      </c>
      <c r="O20" s="75">
        <v>0.01</v>
      </c>
      <c r="P20" s="75">
        <v>0.51</v>
      </c>
      <c r="Q20" s="75">
        <v>53</v>
      </c>
      <c r="R20" s="75">
        <v>0</v>
      </c>
      <c r="S20" s="75">
        <v>0.15</v>
      </c>
      <c r="T20" s="75">
        <v>0</v>
      </c>
      <c r="U20" s="75">
        <v>3</v>
      </c>
    </row>
    <row r="21" spans="1:21" ht="14" thickBot="1" x14ac:dyDescent="0.2"/>
    <row r="22" spans="1:21" s="1" customFormat="1" x14ac:dyDescent="0.15">
      <c r="C22" s="17" t="s">
        <v>0</v>
      </c>
      <c r="D22" s="17" t="s">
        <v>1</v>
      </c>
      <c r="E22" s="17" t="s">
        <v>2</v>
      </c>
      <c r="F22" s="17" t="s">
        <v>3</v>
      </c>
      <c r="G22" s="17" t="s">
        <v>4</v>
      </c>
      <c r="H22" s="17" t="s">
        <v>5</v>
      </c>
      <c r="I22" s="17" t="s">
        <v>6</v>
      </c>
      <c r="J22" s="17" t="s">
        <v>7</v>
      </c>
      <c r="K22" s="17" t="s">
        <v>8</v>
      </c>
      <c r="L22" s="17" t="s">
        <v>13</v>
      </c>
      <c r="M22" s="17" t="s">
        <v>14</v>
      </c>
      <c r="N22" s="17" t="s">
        <v>15</v>
      </c>
      <c r="O22" s="17" t="s">
        <v>16</v>
      </c>
      <c r="P22" s="17" t="s">
        <v>17</v>
      </c>
      <c r="Q22" s="17" t="s">
        <v>18</v>
      </c>
      <c r="R22" s="17" t="s">
        <v>19</v>
      </c>
      <c r="S22" s="17" t="s">
        <v>44</v>
      </c>
      <c r="T22" s="17" t="s">
        <v>66</v>
      </c>
      <c r="U22" s="17" t="s">
        <v>70</v>
      </c>
    </row>
    <row r="23" spans="1:21" s="1" customFormat="1" ht="14" thickBot="1" x14ac:dyDescent="0.2">
      <c r="C23" s="18" t="s">
        <v>9</v>
      </c>
      <c r="D23" s="18" t="s">
        <v>10</v>
      </c>
      <c r="E23" s="18" t="s">
        <v>9</v>
      </c>
      <c r="F23" s="18" t="s">
        <v>11</v>
      </c>
      <c r="G23" s="18" t="s">
        <v>9</v>
      </c>
      <c r="H23" s="18" t="s">
        <v>12</v>
      </c>
      <c r="I23" s="18" t="s">
        <v>12</v>
      </c>
      <c r="J23" s="18" t="s">
        <v>12</v>
      </c>
      <c r="K23" s="18" t="s">
        <v>12</v>
      </c>
      <c r="L23" s="18" t="s">
        <v>12</v>
      </c>
      <c r="M23" s="18" t="s">
        <v>12</v>
      </c>
      <c r="N23" s="18" t="s">
        <v>12</v>
      </c>
      <c r="O23" s="18" t="s">
        <v>12</v>
      </c>
      <c r="P23" s="18" t="s">
        <v>12</v>
      </c>
      <c r="Q23" s="18" t="s">
        <v>20</v>
      </c>
      <c r="R23" s="18" t="s">
        <v>20</v>
      </c>
      <c r="S23" s="18" t="s">
        <v>46</v>
      </c>
      <c r="T23" s="18" t="s">
        <v>12</v>
      </c>
      <c r="U23" s="18" t="s">
        <v>12</v>
      </c>
    </row>
    <row r="24" spans="1:21" ht="17" thickBot="1" x14ac:dyDescent="0.25">
      <c r="A24" s="57" t="s">
        <v>92</v>
      </c>
      <c r="B24" s="19" t="s">
        <v>35</v>
      </c>
    </row>
    <row r="25" spans="1:21" x14ac:dyDescent="0.15">
      <c r="A25" s="25">
        <v>150</v>
      </c>
      <c r="B25" s="24" t="s">
        <v>187</v>
      </c>
      <c r="C25" s="4">
        <v>88.2</v>
      </c>
      <c r="D25" s="4">
        <v>46</v>
      </c>
      <c r="E25" s="4">
        <v>1</v>
      </c>
      <c r="F25" s="4">
        <v>0.2</v>
      </c>
      <c r="G25" s="4">
        <v>10</v>
      </c>
      <c r="H25" s="4">
        <v>3</v>
      </c>
      <c r="I25" s="4">
        <v>200</v>
      </c>
      <c r="J25" s="4">
        <v>24</v>
      </c>
      <c r="K25" s="4">
        <v>41</v>
      </c>
      <c r="L25" s="4">
        <v>0.5</v>
      </c>
      <c r="M25" s="4">
        <v>50.6</v>
      </c>
      <c r="N25" s="4">
        <v>0.08</v>
      </c>
      <c r="O25" s="4">
        <v>0.04</v>
      </c>
      <c r="P25" s="4">
        <v>0.4</v>
      </c>
      <c r="Q25" s="4">
        <v>202</v>
      </c>
      <c r="R25" s="4">
        <v>0</v>
      </c>
      <c r="S25" s="4">
        <v>0.25</v>
      </c>
      <c r="T25" s="4">
        <v>0</v>
      </c>
      <c r="U25" s="4">
        <v>14</v>
      </c>
    </row>
    <row r="26" spans="1:21" x14ac:dyDescent="0.15">
      <c r="A26" s="21"/>
      <c r="B26" s="23" t="s">
        <v>195</v>
      </c>
      <c r="C26" s="4">
        <v>85</v>
      </c>
      <c r="D26" s="4">
        <v>50</v>
      </c>
      <c r="E26" s="4">
        <v>0.7</v>
      </c>
      <c r="F26" s="4">
        <v>0.2</v>
      </c>
      <c r="G26" s="4">
        <v>11.4</v>
      </c>
      <c r="H26" s="4">
        <v>1</v>
      </c>
      <c r="I26" s="4">
        <v>310</v>
      </c>
      <c r="J26" s="4">
        <v>23</v>
      </c>
      <c r="K26" s="4">
        <v>17</v>
      </c>
      <c r="L26" s="4">
        <v>0.4</v>
      </c>
      <c r="M26" s="4">
        <v>7</v>
      </c>
      <c r="N26" s="4">
        <v>0.05</v>
      </c>
      <c r="O26" s="4">
        <v>0.05</v>
      </c>
      <c r="P26" s="4">
        <v>0.4</v>
      </c>
      <c r="Q26" s="4">
        <v>180</v>
      </c>
      <c r="R26" s="4">
        <v>0</v>
      </c>
      <c r="S26" s="4">
        <v>0.2</v>
      </c>
      <c r="T26" s="4">
        <v>0</v>
      </c>
      <c r="U26" s="4">
        <v>8</v>
      </c>
    </row>
    <row r="27" spans="1:21" x14ac:dyDescent="0.15">
      <c r="A27" s="21"/>
      <c r="B27" s="23" t="s">
        <v>188</v>
      </c>
      <c r="C27" s="4">
        <v>87</v>
      </c>
      <c r="D27" s="4">
        <v>46</v>
      </c>
      <c r="E27" s="4">
        <v>0.3</v>
      </c>
      <c r="F27" s="4">
        <v>0.3</v>
      </c>
      <c r="G27" s="4">
        <v>10.5</v>
      </c>
      <c r="H27" s="4">
        <v>2</v>
      </c>
      <c r="I27" s="4">
        <v>120</v>
      </c>
      <c r="J27" s="4">
        <v>11</v>
      </c>
      <c r="K27" s="4">
        <v>9</v>
      </c>
      <c r="L27" s="4">
        <v>0.4</v>
      </c>
      <c r="M27" s="4">
        <v>7</v>
      </c>
      <c r="N27" s="4">
        <v>0.04</v>
      </c>
      <c r="O27" s="4">
        <v>0.03</v>
      </c>
      <c r="P27" s="4">
        <v>0.2</v>
      </c>
      <c r="Q27" s="4">
        <v>43</v>
      </c>
      <c r="R27" s="4">
        <v>0</v>
      </c>
      <c r="S27" s="4">
        <v>0.19</v>
      </c>
      <c r="T27" s="4">
        <v>0</v>
      </c>
      <c r="U27" s="4">
        <v>5</v>
      </c>
    </row>
    <row r="28" spans="1:21" x14ac:dyDescent="0.15">
      <c r="A28" s="21"/>
      <c r="B28" s="23" t="s">
        <v>189</v>
      </c>
      <c r="C28" s="4">
        <v>82</v>
      </c>
      <c r="D28" s="4">
        <v>73</v>
      </c>
      <c r="E28" s="4">
        <v>0.7</v>
      </c>
      <c r="F28" s="4">
        <v>0.7</v>
      </c>
      <c r="G28" s="4">
        <v>16</v>
      </c>
      <c r="H28" s="4">
        <v>2</v>
      </c>
      <c r="I28" s="4">
        <v>250</v>
      </c>
      <c r="J28" s="4">
        <v>22</v>
      </c>
      <c r="K28" s="4">
        <v>17</v>
      </c>
      <c r="L28" s="4">
        <v>0.3</v>
      </c>
      <c r="M28" s="4">
        <v>4</v>
      </c>
      <c r="N28" s="4">
        <v>0.04</v>
      </c>
      <c r="O28" s="4">
        <v>0.02</v>
      </c>
      <c r="P28" s="4">
        <v>0.3</v>
      </c>
      <c r="Q28" s="4">
        <v>23</v>
      </c>
      <c r="R28" s="4">
        <v>0</v>
      </c>
      <c r="S28" s="4">
        <v>0.39</v>
      </c>
      <c r="T28" s="4">
        <v>0</v>
      </c>
      <c r="U28" s="4">
        <v>4</v>
      </c>
    </row>
    <row r="29" spans="1:21" x14ac:dyDescent="0.15">
      <c r="A29" s="26">
        <v>100</v>
      </c>
      <c r="B29" s="23" t="s">
        <v>190</v>
      </c>
      <c r="C29" s="4">
        <v>76</v>
      </c>
      <c r="D29" s="4">
        <v>88</v>
      </c>
      <c r="E29" s="4">
        <v>1.2</v>
      </c>
      <c r="F29" s="4">
        <v>0.4</v>
      </c>
      <c r="G29" s="4">
        <v>20</v>
      </c>
      <c r="H29" s="4">
        <v>3</v>
      </c>
      <c r="I29" s="4">
        <v>380</v>
      </c>
      <c r="J29" s="4">
        <v>28</v>
      </c>
      <c r="K29" s="4">
        <v>9</v>
      </c>
      <c r="L29" s="4">
        <v>0.5</v>
      </c>
      <c r="M29" s="4">
        <v>10</v>
      </c>
      <c r="N29" s="4">
        <v>0.05</v>
      </c>
      <c r="O29" s="4">
        <v>7.0000000000000007E-2</v>
      </c>
      <c r="P29" s="4">
        <v>0.6</v>
      </c>
      <c r="Q29" s="4">
        <v>238</v>
      </c>
      <c r="R29" s="4">
        <v>0</v>
      </c>
      <c r="S29" s="4">
        <v>0.15</v>
      </c>
      <c r="T29" s="4">
        <v>0</v>
      </c>
      <c r="U29" s="4">
        <v>33</v>
      </c>
    </row>
    <row r="30" spans="1:21" x14ac:dyDescent="0.15">
      <c r="A30" s="21"/>
      <c r="B30" s="23" t="s">
        <v>191</v>
      </c>
      <c r="C30" s="4">
        <v>85</v>
      </c>
      <c r="D30" s="4">
        <v>55</v>
      </c>
      <c r="E30" s="4">
        <v>1</v>
      </c>
      <c r="F30" s="4">
        <v>0.2</v>
      </c>
      <c r="G30" s="4">
        <v>12.3</v>
      </c>
      <c r="H30" s="4">
        <v>3</v>
      </c>
      <c r="I30" s="4">
        <v>250</v>
      </c>
      <c r="J30" s="4">
        <v>25</v>
      </c>
      <c r="K30" s="4">
        <v>42</v>
      </c>
      <c r="L30" s="4">
        <v>0.5</v>
      </c>
      <c r="M30" s="4">
        <v>5</v>
      </c>
      <c r="N30" s="4">
        <v>0.05</v>
      </c>
      <c r="O30" s="4">
        <v>0.05</v>
      </c>
      <c r="P30" s="4">
        <v>0.4</v>
      </c>
      <c r="Q30" s="4">
        <v>60</v>
      </c>
      <c r="R30" s="4">
        <v>0</v>
      </c>
      <c r="S30" s="4">
        <v>0.4</v>
      </c>
      <c r="T30" s="4">
        <v>0</v>
      </c>
      <c r="U30" s="4">
        <v>18</v>
      </c>
    </row>
    <row r="31" spans="1:21" x14ac:dyDescent="0.15">
      <c r="A31" s="21"/>
      <c r="B31" s="23" t="s">
        <v>192</v>
      </c>
      <c r="C31" s="4">
        <v>90</v>
      </c>
      <c r="D31" s="4">
        <v>31</v>
      </c>
      <c r="E31" s="4">
        <v>0.6</v>
      </c>
      <c r="F31" s="4">
        <v>0.2</v>
      </c>
      <c r="G31" s="4">
        <v>6.7</v>
      </c>
      <c r="H31" s="4">
        <v>14</v>
      </c>
      <c r="I31" s="4">
        <v>320</v>
      </c>
      <c r="J31" s="4">
        <v>30</v>
      </c>
      <c r="K31" s="4">
        <v>16</v>
      </c>
      <c r="L31" s="4">
        <v>0.4</v>
      </c>
      <c r="M31" s="4">
        <v>25</v>
      </c>
      <c r="N31" s="4">
        <v>0.05</v>
      </c>
      <c r="O31" s="4">
        <v>0.03</v>
      </c>
      <c r="P31" s="4">
        <v>0.6</v>
      </c>
      <c r="Q31" s="4">
        <v>671</v>
      </c>
      <c r="R31" s="4">
        <v>0</v>
      </c>
      <c r="S31" s="4">
        <v>0.1</v>
      </c>
      <c r="T31" s="4">
        <v>0</v>
      </c>
      <c r="U31" s="4">
        <v>13</v>
      </c>
    </row>
    <row r="32" spans="1:21" x14ac:dyDescent="0.15">
      <c r="A32" s="21"/>
      <c r="B32" s="23" t="s">
        <v>193</v>
      </c>
      <c r="C32" s="4">
        <v>85</v>
      </c>
      <c r="D32" s="4">
        <v>53</v>
      </c>
      <c r="E32" s="4">
        <v>0.5</v>
      </c>
      <c r="F32" s="4">
        <v>0.3</v>
      </c>
      <c r="G32" s="4">
        <v>12</v>
      </c>
      <c r="H32" s="4">
        <v>2</v>
      </c>
      <c r="I32" s="4">
        <v>250</v>
      </c>
      <c r="J32" s="4">
        <v>11</v>
      </c>
      <c r="K32" s="4">
        <v>11</v>
      </c>
      <c r="L32" s="4">
        <v>0.4</v>
      </c>
      <c r="M32" s="4">
        <v>25</v>
      </c>
      <c r="N32" s="4">
        <v>7.0000000000000007E-2</v>
      </c>
      <c r="O32" s="4">
        <v>0.05</v>
      </c>
      <c r="P32" s="4">
        <v>0.3</v>
      </c>
      <c r="Q32" s="4">
        <v>32</v>
      </c>
      <c r="R32" s="4">
        <v>0</v>
      </c>
      <c r="S32" s="4">
        <v>0.12</v>
      </c>
      <c r="T32" s="4">
        <v>0</v>
      </c>
      <c r="U32" s="4">
        <v>15</v>
      </c>
    </row>
    <row r="33" spans="1:21" x14ac:dyDescent="0.15">
      <c r="A33" s="21">
        <v>20</v>
      </c>
      <c r="B33" s="23" t="s">
        <v>194</v>
      </c>
      <c r="C33" s="23">
        <v>76.400000000000006</v>
      </c>
      <c r="D33" s="23">
        <v>138</v>
      </c>
      <c r="E33" s="4">
        <v>1.8</v>
      </c>
      <c r="F33" s="4">
        <v>14.2</v>
      </c>
      <c r="G33" s="4">
        <v>0.8</v>
      </c>
      <c r="H33" s="4">
        <v>7</v>
      </c>
      <c r="I33" s="4">
        <v>522</v>
      </c>
      <c r="J33" s="4">
        <v>44</v>
      </c>
      <c r="K33" s="4">
        <v>16</v>
      </c>
      <c r="L33" s="4">
        <v>1</v>
      </c>
      <c r="M33" s="4">
        <v>11</v>
      </c>
      <c r="N33" s="4">
        <v>7.0000000000000007E-2</v>
      </c>
      <c r="O33" s="4">
        <v>0.16</v>
      </c>
      <c r="P33" s="4">
        <v>2</v>
      </c>
      <c r="Q33" s="4">
        <v>185</v>
      </c>
      <c r="R33" s="4">
        <v>0</v>
      </c>
      <c r="S33" s="4">
        <v>0.34</v>
      </c>
      <c r="T33" s="4">
        <v>0</v>
      </c>
      <c r="U33" s="4">
        <v>33</v>
      </c>
    </row>
    <row r="34" spans="1:21" x14ac:dyDescent="0.15">
      <c r="A34" s="21"/>
      <c r="B34" s="4"/>
      <c r="C34" s="4"/>
      <c r="D34" s="4"/>
      <c r="E34" s="4"/>
      <c r="F34" s="4"/>
      <c r="G34" s="4"/>
      <c r="H34" s="4"/>
      <c r="I34" s="4"/>
      <c r="J34" s="4"/>
      <c r="K34" s="4"/>
      <c r="L34" s="4"/>
      <c r="M34" s="4"/>
      <c r="N34" s="4"/>
      <c r="O34" s="4"/>
      <c r="P34" s="4"/>
      <c r="Q34" s="4"/>
      <c r="R34" s="4"/>
      <c r="S34" s="4"/>
      <c r="T34" s="4"/>
      <c r="U34" s="4"/>
    </row>
    <row r="35" spans="1:21" x14ac:dyDescent="0.15">
      <c r="A35" s="21"/>
      <c r="B35" s="4"/>
      <c r="C35" s="4"/>
      <c r="D35" s="4"/>
      <c r="E35" s="4"/>
      <c r="F35" s="4"/>
      <c r="G35" s="4"/>
      <c r="H35" s="4"/>
      <c r="I35" s="4"/>
      <c r="J35" s="4"/>
      <c r="K35" s="4"/>
      <c r="L35" s="4"/>
      <c r="M35" s="4"/>
      <c r="N35" s="4"/>
      <c r="O35" s="4"/>
      <c r="P35" s="4"/>
      <c r="Q35" s="4"/>
      <c r="R35" s="4"/>
      <c r="S35" s="4"/>
      <c r="T35" s="4"/>
      <c r="U35" s="4"/>
    </row>
    <row r="36" spans="1:21" ht="14" thickBot="1" x14ac:dyDescent="0.2">
      <c r="A36" s="22"/>
      <c r="B36" s="61"/>
      <c r="C36" s="61"/>
      <c r="D36" s="61"/>
      <c r="E36" s="61"/>
      <c r="F36" s="61"/>
      <c r="G36" s="61"/>
      <c r="H36" s="61"/>
      <c r="I36" s="61"/>
      <c r="J36" s="61"/>
      <c r="K36" s="61"/>
      <c r="L36" s="61"/>
      <c r="M36" s="61"/>
      <c r="N36" s="61"/>
      <c r="O36" s="61"/>
      <c r="P36" s="61"/>
      <c r="Q36" s="61"/>
      <c r="R36" s="61"/>
      <c r="S36" s="61"/>
      <c r="T36" s="61"/>
      <c r="U36" s="61"/>
    </row>
  </sheetData>
  <phoneticPr fontId="0" type="noConversion"/>
  <pageMargins left="0.75" right="0.75" top="1" bottom="1" header="0" footer="0"/>
  <pageSetup paperSize="9" orientation="portrait" horizontalDpi="180" verticalDpi="180"/>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2"/>
  <sheetViews>
    <sheetView zoomScale="90" zoomScaleNormal="90" zoomScalePageLayoutView="90" workbookViewId="0">
      <selection activeCell="A8" sqref="A8"/>
    </sheetView>
  </sheetViews>
  <sheetFormatPr baseColWidth="10" defaultRowHeight="13" x14ac:dyDescent="0.15"/>
  <cols>
    <col min="2" max="2" width="65.6640625" customWidth="1"/>
    <col min="19" max="21" width="16.6640625" customWidth="1"/>
  </cols>
  <sheetData>
    <row r="1" spans="1:21" s="1" customFormat="1" x14ac:dyDescent="0.15">
      <c r="C1" s="17" t="s">
        <v>0</v>
      </c>
      <c r="D1" s="17" t="s">
        <v>1</v>
      </c>
      <c r="E1" s="17" t="s">
        <v>2</v>
      </c>
      <c r="F1" s="17" t="s">
        <v>3</v>
      </c>
      <c r="G1" s="17" t="s">
        <v>4</v>
      </c>
      <c r="H1" s="17" t="s">
        <v>5</v>
      </c>
      <c r="I1" s="17" t="s">
        <v>6</v>
      </c>
      <c r="J1" s="17" t="s">
        <v>7</v>
      </c>
      <c r="K1" s="17" t="s">
        <v>8</v>
      </c>
      <c r="L1" s="17" t="s">
        <v>13</v>
      </c>
      <c r="M1" s="17" t="s">
        <v>14</v>
      </c>
      <c r="N1" s="17" t="s">
        <v>15</v>
      </c>
      <c r="O1" s="17" t="s">
        <v>16</v>
      </c>
      <c r="P1" s="17" t="s">
        <v>17</v>
      </c>
      <c r="Q1" s="17" t="s">
        <v>18</v>
      </c>
      <c r="R1" s="17" t="s">
        <v>19</v>
      </c>
      <c r="S1" s="17" t="s">
        <v>44</v>
      </c>
      <c r="T1" s="17" t="s">
        <v>66</v>
      </c>
      <c r="U1" s="17" t="s">
        <v>70</v>
      </c>
    </row>
    <row r="2" spans="1:21" s="1" customFormat="1" ht="14" thickBot="1" x14ac:dyDescent="0.2">
      <c r="C2" s="18" t="s">
        <v>9</v>
      </c>
      <c r="D2" s="18" t="s">
        <v>10</v>
      </c>
      <c r="E2" s="18" t="s">
        <v>9</v>
      </c>
      <c r="F2" s="18" t="s">
        <v>11</v>
      </c>
      <c r="G2" s="18" t="s">
        <v>9</v>
      </c>
      <c r="H2" s="18" t="s">
        <v>12</v>
      </c>
      <c r="I2" s="18" t="s">
        <v>12</v>
      </c>
      <c r="J2" s="18" t="s">
        <v>12</v>
      </c>
      <c r="K2" s="18" t="s">
        <v>12</v>
      </c>
      <c r="L2" s="18" t="s">
        <v>12</v>
      </c>
      <c r="M2" s="18" t="s">
        <v>12</v>
      </c>
      <c r="N2" s="18" t="s">
        <v>12</v>
      </c>
      <c r="O2" s="18" t="s">
        <v>12</v>
      </c>
      <c r="P2" s="18" t="s">
        <v>12</v>
      </c>
      <c r="Q2" s="18" t="s">
        <v>20</v>
      </c>
      <c r="R2" s="18" t="s">
        <v>20</v>
      </c>
      <c r="S2" s="18" t="s">
        <v>46</v>
      </c>
      <c r="T2" s="18" t="s">
        <v>12</v>
      </c>
      <c r="U2" s="18" t="s">
        <v>12</v>
      </c>
    </row>
    <row r="3" spans="1:21" ht="17" thickBot="1" x14ac:dyDescent="0.25">
      <c r="A3" s="57" t="s">
        <v>92</v>
      </c>
      <c r="B3" s="19" t="s">
        <v>93</v>
      </c>
    </row>
    <row r="4" spans="1:21" x14ac:dyDescent="0.15">
      <c r="A4" s="20"/>
      <c r="B4" s="24" t="s">
        <v>196</v>
      </c>
      <c r="C4" s="4">
        <v>19</v>
      </c>
      <c r="D4" s="4">
        <v>287</v>
      </c>
      <c r="E4" s="4">
        <v>2</v>
      </c>
      <c r="F4" s="4">
        <v>0.1</v>
      </c>
      <c r="G4" s="4">
        <v>70</v>
      </c>
      <c r="H4" s="4">
        <v>5</v>
      </c>
      <c r="I4" s="4">
        <v>750</v>
      </c>
      <c r="J4" s="4">
        <v>64</v>
      </c>
      <c r="K4" s="4">
        <v>68</v>
      </c>
      <c r="L4" s="4">
        <v>1.6</v>
      </c>
      <c r="M4" s="4">
        <v>3</v>
      </c>
      <c r="N4" s="4">
        <v>7.0000000000000007E-2</v>
      </c>
      <c r="O4" s="4">
        <v>0.04</v>
      </c>
      <c r="P4" s="4">
        <v>2</v>
      </c>
      <c r="Q4" s="4">
        <v>50</v>
      </c>
      <c r="R4" s="4">
        <v>0</v>
      </c>
      <c r="S4" s="4">
        <v>0.64</v>
      </c>
      <c r="T4" s="4">
        <v>0</v>
      </c>
      <c r="U4" s="4">
        <v>58</v>
      </c>
    </row>
    <row r="5" spans="1:21" x14ac:dyDescent="0.15">
      <c r="A5" s="21"/>
      <c r="B5" s="23" t="s">
        <v>197</v>
      </c>
      <c r="C5" s="4">
        <v>16.8</v>
      </c>
      <c r="D5" s="4">
        <v>260</v>
      </c>
      <c r="E5" s="4">
        <v>3.6</v>
      </c>
      <c r="F5" s="4">
        <v>1</v>
      </c>
      <c r="G5" s="4">
        <v>60</v>
      </c>
      <c r="H5" s="4">
        <v>40</v>
      </c>
      <c r="I5" s="4">
        <v>983</v>
      </c>
      <c r="J5" s="4">
        <v>108</v>
      </c>
      <c r="K5" s="4">
        <v>200</v>
      </c>
      <c r="L5" s="4">
        <v>4.2</v>
      </c>
      <c r="M5" s="4">
        <v>0</v>
      </c>
      <c r="N5" s="4">
        <v>0.1</v>
      </c>
      <c r="O5" s="4">
        <v>0.08</v>
      </c>
      <c r="P5" s="4">
        <v>1.7</v>
      </c>
      <c r="Q5" s="4">
        <v>50</v>
      </c>
      <c r="R5" s="4">
        <v>0</v>
      </c>
      <c r="S5" s="4">
        <v>0.68</v>
      </c>
      <c r="T5" s="4">
        <v>0</v>
      </c>
      <c r="U5" s="4">
        <v>62</v>
      </c>
    </row>
    <row r="6" spans="1:21" x14ac:dyDescent="0.15">
      <c r="A6" s="21"/>
      <c r="B6" s="23" t="s">
        <v>198</v>
      </c>
      <c r="C6" s="4">
        <v>39</v>
      </c>
      <c r="D6" s="4">
        <v>172</v>
      </c>
      <c r="E6" s="4">
        <v>2.5</v>
      </c>
      <c r="F6" s="4">
        <v>0.3</v>
      </c>
      <c r="G6" s="4">
        <v>40</v>
      </c>
      <c r="H6" s="4">
        <v>12</v>
      </c>
      <c r="I6" s="4">
        <v>950</v>
      </c>
      <c r="J6" s="4">
        <v>95</v>
      </c>
      <c r="K6" s="4">
        <v>45</v>
      </c>
      <c r="L6" s="4">
        <v>2.9</v>
      </c>
      <c r="M6" s="4">
        <v>1.5</v>
      </c>
      <c r="N6" s="4">
        <v>0.1</v>
      </c>
      <c r="O6" s="4">
        <v>0.2</v>
      </c>
      <c r="P6" s="4">
        <v>1.7</v>
      </c>
      <c r="Q6" s="4">
        <v>570</v>
      </c>
      <c r="R6" s="4">
        <v>0</v>
      </c>
      <c r="S6" s="4">
        <v>0.68</v>
      </c>
      <c r="T6" s="4">
        <v>0</v>
      </c>
      <c r="U6" s="4">
        <v>40</v>
      </c>
    </row>
    <row r="7" spans="1:21" x14ac:dyDescent="0.15">
      <c r="A7" s="21"/>
      <c r="B7" s="23" t="s">
        <v>199</v>
      </c>
      <c r="C7" s="4">
        <v>5</v>
      </c>
      <c r="D7" s="4">
        <v>550</v>
      </c>
      <c r="E7" s="4">
        <v>15</v>
      </c>
      <c r="F7" s="4">
        <v>50</v>
      </c>
      <c r="G7" s="4">
        <v>10</v>
      </c>
      <c r="H7" s="4">
        <v>5</v>
      </c>
      <c r="I7" s="4">
        <v>700</v>
      </c>
      <c r="J7" s="4">
        <v>470</v>
      </c>
      <c r="K7" s="4">
        <v>250</v>
      </c>
      <c r="L7" s="4">
        <v>4</v>
      </c>
      <c r="M7" s="4">
        <v>0</v>
      </c>
      <c r="N7" s="4">
        <v>0.23</v>
      </c>
      <c r="O7" s="4">
        <v>0.75</v>
      </c>
      <c r="P7" s="4">
        <v>2.5</v>
      </c>
      <c r="Q7" s="4">
        <v>0</v>
      </c>
      <c r="R7" s="4">
        <v>0</v>
      </c>
      <c r="S7" s="4">
        <v>0.95</v>
      </c>
      <c r="T7" s="4">
        <v>0</v>
      </c>
      <c r="U7" s="4">
        <v>200</v>
      </c>
    </row>
    <row r="8" spans="1:21" x14ac:dyDescent="0.15">
      <c r="A8" s="21"/>
      <c r="B8" s="23" t="s">
        <v>200</v>
      </c>
      <c r="C8" s="4">
        <v>2.6</v>
      </c>
      <c r="D8" s="4">
        <v>598</v>
      </c>
      <c r="E8" s="4">
        <v>25</v>
      </c>
      <c r="F8" s="4">
        <v>50</v>
      </c>
      <c r="G8" s="4">
        <v>12</v>
      </c>
      <c r="H8" s="4">
        <v>430</v>
      </c>
      <c r="I8" s="4">
        <v>720</v>
      </c>
      <c r="J8" s="4">
        <v>387</v>
      </c>
      <c r="K8" s="4">
        <v>62</v>
      </c>
      <c r="L8" s="4">
        <v>2.5</v>
      </c>
      <c r="M8" s="4">
        <v>0</v>
      </c>
      <c r="N8" s="4">
        <v>0.25</v>
      </c>
      <c r="O8" s="4">
        <v>0.12</v>
      </c>
      <c r="P8" s="4">
        <v>15</v>
      </c>
      <c r="Q8" s="4">
        <v>0</v>
      </c>
      <c r="R8" s="4">
        <v>0</v>
      </c>
      <c r="S8" s="4">
        <v>0.8</v>
      </c>
      <c r="T8" s="4">
        <v>0</v>
      </c>
      <c r="U8" s="4">
        <v>200</v>
      </c>
    </row>
    <row r="9" spans="1:21" x14ac:dyDescent="0.15">
      <c r="A9" s="21"/>
      <c r="B9" s="23" t="s">
        <v>201</v>
      </c>
      <c r="C9" s="4">
        <v>51.7</v>
      </c>
      <c r="D9" s="4">
        <v>172</v>
      </c>
      <c r="E9" s="4">
        <v>2</v>
      </c>
      <c r="F9" s="4">
        <v>2.7</v>
      </c>
      <c r="G9" s="4">
        <v>35</v>
      </c>
      <c r="H9" s="4">
        <v>11</v>
      </c>
      <c r="I9" s="4">
        <v>500</v>
      </c>
      <c r="J9" s="4">
        <v>74</v>
      </c>
      <c r="K9" s="4">
        <v>46</v>
      </c>
      <c r="L9" s="4">
        <v>0.9</v>
      </c>
      <c r="M9" s="4">
        <v>0</v>
      </c>
      <c r="N9" s="4">
        <v>0.2</v>
      </c>
      <c r="O9" s="4">
        <v>0.22</v>
      </c>
      <c r="P9" s="4">
        <v>0.3</v>
      </c>
      <c r="Q9" s="4">
        <v>0</v>
      </c>
      <c r="R9" s="4">
        <v>0</v>
      </c>
      <c r="S9" s="4">
        <v>0.8</v>
      </c>
      <c r="T9" s="4">
        <v>0</v>
      </c>
      <c r="U9" s="4">
        <v>33</v>
      </c>
    </row>
    <row r="10" spans="1:21" x14ac:dyDescent="0.15">
      <c r="A10" s="21"/>
      <c r="B10" s="23" t="s">
        <v>202</v>
      </c>
      <c r="C10" s="4">
        <v>30</v>
      </c>
      <c r="D10" s="4">
        <v>292</v>
      </c>
      <c r="E10" s="4">
        <v>3</v>
      </c>
      <c r="F10" s="4">
        <v>1</v>
      </c>
      <c r="G10" s="4">
        <v>66</v>
      </c>
      <c r="H10" s="4">
        <v>23</v>
      </c>
      <c r="I10" s="4">
        <v>783</v>
      </c>
      <c r="J10" s="4">
        <v>85</v>
      </c>
      <c r="K10" s="4">
        <v>40</v>
      </c>
      <c r="L10" s="4">
        <v>2.4</v>
      </c>
      <c r="M10" s="4">
        <v>4</v>
      </c>
      <c r="N10" s="4">
        <v>0.11</v>
      </c>
      <c r="O10" s="4">
        <v>0.14000000000000001</v>
      </c>
      <c r="P10" s="4">
        <v>0.9</v>
      </c>
      <c r="Q10" s="4">
        <v>11</v>
      </c>
      <c r="R10" s="4">
        <v>0</v>
      </c>
      <c r="S10" s="4">
        <v>0.63</v>
      </c>
      <c r="T10" s="4">
        <v>0</v>
      </c>
      <c r="U10" s="4">
        <v>31</v>
      </c>
    </row>
    <row r="11" spans="1:21" x14ac:dyDescent="0.15">
      <c r="A11" s="21"/>
      <c r="B11" s="4"/>
      <c r="C11" s="4"/>
      <c r="D11" s="4"/>
      <c r="E11" s="4"/>
      <c r="F11" s="4"/>
      <c r="G11" s="4"/>
      <c r="H11" s="4"/>
      <c r="I11" s="4"/>
      <c r="J11" s="4"/>
      <c r="K11" s="4"/>
      <c r="L11" s="4"/>
      <c r="M11" s="4"/>
      <c r="N11" s="4"/>
      <c r="O11" s="4"/>
      <c r="P11" s="4"/>
      <c r="Q11" s="4"/>
      <c r="R11" s="4"/>
      <c r="S11" s="4"/>
      <c r="T11" s="4"/>
      <c r="U11" s="4"/>
    </row>
    <row r="12" spans="1:21" x14ac:dyDescent="0.15">
      <c r="A12" s="21"/>
      <c r="B12" s="4"/>
      <c r="C12" s="4"/>
      <c r="D12" s="4"/>
      <c r="E12" s="4"/>
      <c r="F12" s="4"/>
      <c r="G12" s="4"/>
      <c r="H12" s="4"/>
      <c r="I12" s="4"/>
      <c r="J12" s="4"/>
      <c r="K12" s="4"/>
      <c r="L12" s="4"/>
      <c r="M12" s="4"/>
      <c r="N12" s="4"/>
      <c r="O12" s="4"/>
      <c r="P12" s="4"/>
      <c r="Q12" s="4"/>
      <c r="R12" s="4"/>
      <c r="S12" s="4"/>
      <c r="T12" s="4"/>
      <c r="U12" s="4"/>
    </row>
    <row r="13" spans="1:21" x14ac:dyDescent="0.15">
      <c r="A13" s="21"/>
      <c r="B13" s="4"/>
      <c r="C13" s="4"/>
      <c r="D13" s="4"/>
      <c r="E13" s="4"/>
      <c r="F13" s="4"/>
      <c r="G13" s="4"/>
      <c r="H13" s="4"/>
      <c r="I13" s="4"/>
      <c r="J13" s="4"/>
      <c r="K13" s="4"/>
      <c r="L13" s="4"/>
      <c r="M13" s="4"/>
      <c r="N13" s="4"/>
      <c r="O13" s="4"/>
      <c r="P13" s="4"/>
      <c r="Q13" s="4"/>
      <c r="R13" s="4"/>
      <c r="S13" s="4"/>
      <c r="T13" s="4"/>
      <c r="U13" s="4"/>
    </row>
    <row r="14" spans="1:21" x14ac:dyDescent="0.15">
      <c r="A14" s="21"/>
      <c r="B14" s="4"/>
      <c r="C14" s="4"/>
      <c r="D14" s="4"/>
      <c r="E14" s="4"/>
      <c r="F14" s="4"/>
      <c r="G14" s="4"/>
      <c r="H14" s="4"/>
      <c r="I14" s="4"/>
      <c r="J14" s="4"/>
      <c r="K14" s="4"/>
      <c r="L14" s="4"/>
      <c r="M14" s="4"/>
      <c r="N14" s="4"/>
      <c r="O14" s="4"/>
      <c r="P14" s="4"/>
      <c r="Q14" s="4"/>
      <c r="R14" s="4"/>
      <c r="S14" s="4"/>
      <c r="T14" s="4"/>
      <c r="U14" s="4"/>
    </row>
    <row r="15" spans="1:21" ht="14" thickBot="1" x14ac:dyDescent="0.2">
      <c r="A15" s="22"/>
      <c r="B15" s="61"/>
      <c r="C15" s="61"/>
      <c r="D15" s="61"/>
      <c r="E15" s="61"/>
      <c r="F15" s="61"/>
      <c r="G15" s="61"/>
      <c r="H15" s="61"/>
      <c r="I15" s="61"/>
      <c r="J15" s="61"/>
      <c r="K15" s="61"/>
      <c r="L15" s="61"/>
      <c r="M15" s="61"/>
      <c r="N15" s="61"/>
      <c r="O15" s="61"/>
      <c r="P15" s="61"/>
      <c r="Q15" s="61"/>
      <c r="R15" s="61"/>
      <c r="S15" s="61"/>
      <c r="T15" s="61"/>
      <c r="U15" s="61"/>
    </row>
    <row r="16" spans="1:21" ht="14" thickBot="1" x14ac:dyDescent="0.2"/>
    <row r="17" spans="1:21" s="1" customFormat="1" x14ac:dyDescent="0.15">
      <c r="C17" s="17" t="s">
        <v>0</v>
      </c>
      <c r="D17" s="17" t="s">
        <v>1</v>
      </c>
      <c r="E17" s="17" t="s">
        <v>2</v>
      </c>
      <c r="F17" s="17" t="s">
        <v>3</v>
      </c>
      <c r="G17" s="17" t="s">
        <v>4</v>
      </c>
      <c r="H17" s="17" t="s">
        <v>5</v>
      </c>
      <c r="I17" s="17" t="s">
        <v>6</v>
      </c>
      <c r="J17" s="17" t="s">
        <v>7</v>
      </c>
      <c r="K17" s="17" t="s">
        <v>8</v>
      </c>
      <c r="L17" s="17" t="s">
        <v>13</v>
      </c>
      <c r="M17" s="17" t="s">
        <v>14</v>
      </c>
      <c r="N17" s="17" t="s">
        <v>15</v>
      </c>
      <c r="O17" s="17" t="s">
        <v>16</v>
      </c>
      <c r="P17" s="17" t="s">
        <v>17</v>
      </c>
      <c r="Q17" s="17" t="s">
        <v>18</v>
      </c>
      <c r="R17" s="17" t="s">
        <v>19</v>
      </c>
      <c r="S17" s="17" t="s">
        <v>44</v>
      </c>
      <c r="T17" s="17" t="s">
        <v>66</v>
      </c>
      <c r="U17" s="17" t="s">
        <v>70</v>
      </c>
    </row>
    <row r="18" spans="1:21" s="1" customFormat="1" ht="14" thickBot="1" x14ac:dyDescent="0.2">
      <c r="C18" s="18" t="s">
        <v>9</v>
      </c>
      <c r="D18" s="18" t="s">
        <v>10</v>
      </c>
      <c r="E18" s="18" t="s">
        <v>9</v>
      </c>
      <c r="F18" s="18" t="s">
        <v>11</v>
      </c>
      <c r="G18" s="18" t="s">
        <v>9</v>
      </c>
      <c r="H18" s="18" t="s">
        <v>12</v>
      </c>
      <c r="I18" s="18" t="s">
        <v>12</v>
      </c>
      <c r="J18" s="18" t="s">
        <v>12</v>
      </c>
      <c r="K18" s="18" t="s">
        <v>12</v>
      </c>
      <c r="L18" s="18" t="s">
        <v>12</v>
      </c>
      <c r="M18" s="18" t="s">
        <v>12</v>
      </c>
      <c r="N18" s="18" t="s">
        <v>12</v>
      </c>
      <c r="O18" s="18" t="s">
        <v>12</v>
      </c>
      <c r="P18" s="18" t="s">
        <v>12</v>
      </c>
      <c r="Q18" s="18" t="s">
        <v>20</v>
      </c>
      <c r="R18" s="18" t="s">
        <v>20</v>
      </c>
      <c r="S18" s="18" t="s">
        <v>46</v>
      </c>
      <c r="T18" s="18" t="s">
        <v>12</v>
      </c>
      <c r="U18" s="18" t="s">
        <v>12</v>
      </c>
    </row>
    <row r="19" spans="1:21" ht="17" thickBot="1" x14ac:dyDescent="0.25">
      <c r="A19" s="57" t="s">
        <v>92</v>
      </c>
      <c r="B19" s="19" t="s">
        <v>36</v>
      </c>
    </row>
    <row r="20" spans="1:21" x14ac:dyDescent="0.15">
      <c r="A20" s="20"/>
      <c r="B20" s="24" t="s">
        <v>204</v>
      </c>
      <c r="C20" s="4">
        <v>0.2</v>
      </c>
      <c r="D20" s="4">
        <v>891</v>
      </c>
      <c r="E20" s="4">
        <v>0</v>
      </c>
      <c r="F20" s="4">
        <v>99</v>
      </c>
      <c r="G20" s="4">
        <v>0</v>
      </c>
      <c r="H20" s="4">
        <v>2</v>
      </c>
      <c r="I20" s="4">
        <v>1</v>
      </c>
      <c r="J20" s="4">
        <v>3</v>
      </c>
      <c r="K20" s="4">
        <v>1</v>
      </c>
      <c r="L20" s="4">
        <v>0</v>
      </c>
      <c r="M20" s="4">
        <v>0</v>
      </c>
      <c r="N20" s="4">
        <v>0</v>
      </c>
      <c r="O20" s="4">
        <v>0</v>
      </c>
      <c r="P20" s="4">
        <v>0.3</v>
      </c>
      <c r="Q20" s="4"/>
      <c r="R20" s="4">
        <v>9</v>
      </c>
      <c r="S20" s="4">
        <v>0.5</v>
      </c>
      <c r="T20" s="4">
        <v>95</v>
      </c>
      <c r="U20" s="4">
        <v>1</v>
      </c>
    </row>
    <row r="21" spans="1:21" x14ac:dyDescent="0.15">
      <c r="A21" s="26"/>
      <c r="B21" s="23" t="s">
        <v>203</v>
      </c>
      <c r="C21" s="4">
        <v>0.2</v>
      </c>
      <c r="D21" s="4">
        <v>899</v>
      </c>
      <c r="E21" s="4">
        <v>0</v>
      </c>
      <c r="F21" s="4">
        <v>99.9</v>
      </c>
      <c r="G21" s="4">
        <v>0</v>
      </c>
      <c r="H21" s="4">
        <v>2</v>
      </c>
      <c r="I21" s="4">
        <v>0</v>
      </c>
      <c r="J21" s="4">
        <v>0</v>
      </c>
      <c r="K21" s="4">
        <v>1</v>
      </c>
      <c r="L21" s="4">
        <v>0</v>
      </c>
      <c r="M21" s="4">
        <v>0</v>
      </c>
      <c r="N21" s="4">
        <v>0</v>
      </c>
      <c r="O21" s="4">
        <v>0</v>
      </c>
      <c r="P21" s="4">
        <v>0</v>
      </c>
      <c r="Q21" s="4">
        <v>0</v>
      </c>
      <c r="R21" s="4">
        <v>0</v>
      </c>
      <c r="S21" s="4">
        <v>0.3</v>
      </c>
      <c r="T21" s="4">
        <v>0</v>
      </c>
      <c r="U21" s="4">
        <v>0</v>
      </c>
    </row>
    <row r="22" spans="1:21" x14ac:dyDescent="0.15">
      <c r="A22" s="26"/>
      <c r="B22" s="23" t="s">
        <v>205</v>
      </c>
      <c r="C22" s="4">
        <v>0.2</v>
      </c>
      <c r="D22" s="4">
        <v>899</v>
      </c>
      <c r="E22" s="4">
        <v>0</v>
      </c>
      <c r="F22" s="4">
        <v>99.9</v>
      </c>
      <c r="G22" s="4">
        <v>0</v>
      </c>
      <c r="H22" s="4">
        <v>0</v>
      </c>
      <c r="I22" s="4">
        <v>0</v>
      </c>
      <c r="J22" s="4">
        <v>0</v>
      </c>
      <c r="K22" s="4">
        <v>0</v>
      </c>
      <c r="L22" s="4">
        <v>0.03</v>
      </c>
      <c r="M22" s="4">
        <v>0</v>
      </c>
      <c r="N22" s="4">
        <v>0</v>
      </c>
      <c r="O22" s="4">
        <v>0</v>
      </c>
      <c r="P22" s="4">
        <v>0</v>
      </c>
      <c r="Q22" s="4">
        <v>0</v>
      </c>
      <c r="R22" s="4">
        <v>0</v>
      </c>
      <c r="S22" s="4">
        <v>0.12</v>
      </c>
      <c r="T22" s="4">
        <v>0</v>
      </c>
      <c r="U22" s="4">
        <v>0</v>
      </c>
    </row>
    <row r="23" spans="1:21" x14ac:dyDescent="0.15">
      <c r="A23" s="21"/>
      <c r="B23" s="23" t="s">
        <v>207</v>
      </c>
      <c r="C23" s="4">
        <v>19.2</v>
      </c>
      <c r="D23" s="4">
        <v>753</v>
      </c>
      <c r="E23" s="4">
        <v>0</v>
      </c>
      <c r="F23" s="4">
        <v>83.5</v>
      </c>
      <c r="G23" s="4">
        <v>0.4</v>
      </c>
      <c r="H23" s="4">
        <v>118</v>
      </c>
      <c r="I23" s="4">
        <v>5</v>
      </c>
      <c r="J23" s="4">
        <v>12</v>
      </c>
      <c r="K23" s="4">
        <v>10</v>
      </c>
      <c r="L23" s="4">
        <v>0</v>
      </c>
      <c r="M23" s="4">
        <v>0</v>
      </c>
      <c r="N23" s="4">
        <v>0.01</v>
      </c>
      <c r="O23" s="4">
        <v>0.01</v>
      </c>
      <c r="P23" s="4">
        <v>0</v>
      </c>
      <c r="Q23" s="4">
        <v>570</v>
      </c>
      <c r="R23" s="4">
        <v>900</v>
      </c>
      <c r="S23" s="4">
        <v>0.4</v>
      </c>
      <c r="T23" s="4">
        <v>0</v>
      </c>
      <c r="U23" s="4">
        <v>2</v>
      </c>
    </row>
    <row r="24" spans="1:21" x14ac:dyDescent="0.15">
      <c r="A24" s="21"/>
      <c r="B24" s="23" t="s">
        <v>206</v>
      </c>
      <c r="C24" s="4">
        <v>59.3</v>
      </c>
      <c r="D24" s="4">
        <v>316</v>
      </c>
      <c r="E24" s="4">
        <v>2.2999999999999998</v>
      </c>
      <c r="F24" s="4">
        <v>33.4</v>
      </c>
      <c r="G24" s="4">
        <v>1.6</v>
      </c>
      <c r="H24" s="4">
        <v>35</v>
      </c>
      <c r="I24" s="4">
        <v>100</v>
      </c>
      <c r="J24" s="4">
        <v>58</v>
      </c>
      <c r="K24" s="4">
        <v>80</v>
      </c>
      <c r="L24" s="4">
        <v>0.2</v>
      </c>
      <c r="M24" s="4">
        <v>0</v>
      </c>
      <c r="N24" s="4">
        <v>0.01</v>
      </c>
      <c r="O24" s="4">
        <v>0.1</v>
      </c>
      <c r="P24" s="4">
        <v>0.1</v>
      </c>
      <c r="Q24" s="4">
        <v>340</v>
      </c>
      <c r="R24" s="4">
        <v>250</v>
      </c>
      <c r="S24" s="4">
        <v>0.25</v>
      </c>
      <c r="T24" s="4">
        <v>90</v>
      </c>
      <c r="U24" s="4">
        <v>4</v>
      </c>
    </row>
    <row r="25" spans="1:21" x14ac:dyDescent="0.15">
      <c r="A25" s="21"/>
      <c r="B25" s="23" t="s">
        <v>208</v>
      </c>
      <c r="C25" s="4">
        <v>15.5</v>
      </c>
      <c r="D25" s="4">
        <v>751</v>
      </c>
      <c r="E25" s="4">
        <v>0.7</v>
      </c>
      <c r="F25" s="4">
        <v>83</v>
      </c>
      <c r="G25" s="4">
        <v>0.4</v>
      </c>
      <c r="H25" s="4">
        <v>22</v>
      </c>
      <c r="I25" s="4">
        <v>12</v>
      </c>
      <c r="J25" s="4">
        <v>15</v>
      </c>
      <c r="K25" s="4">
        <v>15</v>
      </c>
      <c r="L25" s="4">
        <v>0.2</v>
      </c>
      <c r="M25" s="4">
        <v>0</v>
      </c>
      <c r="N25" s="4">
        <v>0.01</v>
      </c>
      <c r="O25" s="4">
        <v>0.02</v>
      </c>
      <c r="P25" s="4">
        <v>0.03</v>
      </c>
      <c r="Q25" s="4">
        <v>505</v>
      </c>
      <c r="R25" s="4">
        <v>708</v>
      </c>
      <c r="S25" s="4">
        <v>0.55000000000000004</v>
      </c>
      <c r="T25" s="4">
        <v>250</v>
      </c>
      <c r="U25" s="4">
        <v>2</v>
      </c>
    </row>
    <row r="26" spans="1:21" x14ac:dyDescent="0.15">
      <c r="A26" s="21"/>
      <c r="B26" s="23" t="s">
        <v>209</v>
      </c>
      <c r="C26" s="23">
        <v>76.8</v>
      </c>
      <c r="D26" s="4">
        <v>110</v>
      </c>
      <c r="E26" s="4">
        <v>1.1000000000000001</v>
      </c>
      <c r="F26" s="4">
        <v>11.8</v>
      </c>
      <c r="G26" s="4">
        <v>0</v>
      </c>
      <c r="H26" s="4">
        <v>1930</v>
      </c>
      <c r="I26" s="4">
        <v>72</v>
      </c>
      <c r="J26" s="4">
        <v>16</v>
      </c>
      <c r="K26" s="4">
        <v>48</v>
      </c>
      <c r="L26" s="4">
        <v>1.1000000000000001</v>
      </c>
      <c r="M26" s="4">
        <v>0</v>
      </c>
      <c r="N26" s="4">
        <v>0.01</v>
      </c>
      <c r="O26" s="4">
        <v>0.04</v>
      </c>
      <c r="P26" s="4">
        <v>0.25</v>
      </c>
      <c r="Q26" s="4">
        <v>208</v>
      </c>
      <c r="R26" s="4">
        <v>0</v>
      </c>
      <c r="S26" s="4">
        <v>0.5</v>
      </c>
      <c r="T26" s="4">
        <v>0</v>
      </c>
      <c r="U26" s="4">
        <v>22</v>
      </c>
    </row>
    <row r="27" spans="1:21" x14ac:dyDescent="0.15">
      <c r="A27" s="21"/>
      <c r="B27" s="23" t="s">
        <v>210</v>
      </c>
      <c r="C27" s="23">
        <v>48.9</v>
      </c>
      <c r="D27" s="4">
        <v>394</v>
      </c>
      <c r="E27" s="4">
        <v>1</v>
      </c>
      <c r="F27" s="4">
        <v>38.5</v>
      </c>
      <c r="G27" s="4">
        <v>10.8</v>
      </c>
      <c r="H27" s="4">
        <v>750</v>
      </c>
      <c r="I27" s="4">
        <v>10</v>
      </c>
      <c r="J27" s="4">
        <v>50</v>
      </c>
      <c r="K27" s="4">
        <v>10</v>
      </c>
      <c r="L27" s="4">
        <v>0.3</v>
      </c>
      <c r="M27" s="4">
        <v>0</v>
      </c>
      <c r="N27" s="4">
        <v>0.02</v>
      </c>
      <c r="O27" s="4">
        <v>0.05</v>
      </c>
      <c r="P27" s="4">
        <v>0.01</v>
      </c>
      <c r="Q27" s="4">
        <v>0</v>
      </c>
      <c r="R27" s="4">
        <v>0</v>
      </c>
      <c r="S27" s="4">
        <v>0.3</v>
      </c>
      <c r="T27" s="4">
        <v>50</v>
      </c>
      <c r="U27" s="4">
        <v>1</v>
      </c>
    </row>
    <row r="28" spans="1:21" x14ac:dyDescent="0.15">
      <c r="A28" s="21"/>
      <c r="B28" s="4"/>
      <c r="C28" s="4"/>
      <c r="D28" s="4"/>
      <c r="E28" s="4"/>
      <c r="F28" s="4"/>
      <c r="G28" s="4"/>
      <c r="H28" s="4"/>
      <c r="I28" s="4"/>
      <c r="J28" s="4"/>
      <c r="K28" s="4"/>
      <c r="L28" s="4"/>
      <c r="M28" s="4"/>
      <c r="N28" s="4"/>
      <c r="O28" s="4"/>
      <c r="P28" s="4"/>
      <c r="Q28" s="4"/>
      <c r="R28" s="4"/>
      <c r="S28" s="4"/>
      <c r="T28" s="4"/>
      <c r="U28" s="4"/>
    </row>
    <row r="29" spans="1:21" x14ac:dyDescent="0.15">
      <c r="A29" s="21"/>
      <c r="B29" s="4"/>
      <c r="C29" s="4"/>
      <c r="D29" s="4"/>
      <c r="E29" s="4"/>
      <c r="F29" s="4"/>
      <c r="G29" s="4"/>
      <c r="H29" s="4"/>
      <c r="I29" s="4"/>
      <c r="J29" s="4"/>
      <c r="K29" s="4"/>
      <c r="L29" s="4"/>
      <c r="M29" s="4"/>
      <c r="N29" s="4"/>
      <c r="O29" s="4"/>
      <c r="P29" s="4"/>
      <c r="Q29" s="4"/>
      <c r="R29" s="4"/>
      <c r="S29" s="4"/>
      <c r="T29" s="4"/>
      <c r="U29" s="4"/>
    </row>
    <row r="30" spans="1:21" x14ac:dyDescent="0.15">
      <c r="A30" s="21"/>
      <c r="B30" s="4"/>
      <c r="C30" s="4"/>
      <c r="D30" s="4"/>
      <c r="E30" s="4"/>
      <c r="F30" s="4"/>
      <c r="G30" s="4"/>
      <c r="H30" s="4"/>
      <c r="I30" s="4"/>
      <c r="J30" s="4"/>
      <c r="K30" s="4"/>
      <c r="L30" s="4"/>
      <c r="M30" s="4"/>
      <c r="N30" s="4"/>
      <c r="O30" s="4"/>
      <c r="P30" s="4"/>
      <c r="Q30" s="4"/>
      <c r="R30" s="4"/>
      <c r="S30" s="4"/>
      <c r="T30" s="4"/>
      <c r="U30" s="4"/>
    </row>
    <row r="31" spans="1:21" x14ac:dyDescent="0.15">
      <c r="A31" s="21"/>
      <c r="B31" s="4"/>
      <c r="C31" s="4"/>
      <c r="D31" s="4"/>
      <c r="E31" s="4"/>
      <c r="F31" s="4"/>
      <c r="G31" s="4"/>
      <c r="H31" s="4"/>
      <c r="I31" s="4"/>
      <c r="J31" s="4"/>
      <c r="K31" s="4"/>
      <c r="L31" s="4"/>
      <c r="M31" s="4"/>
      <c r="N31" s="4"/>
      <c r="O31" s="4"/>
      <c r="P31" s="4"/>
      <c r="Q31" s="4"/>
      <c r="R31" s="4"/>
      <c r="S31" s="4"/>
      <c r="T31" s="4"/>
      <c r="U31" s="4"/>
    </row>
    <row r="32" spans="1:21" ht="14" thickBot="1" x14ac:dyDescent="0.2">
      <c r="A32" s="22"/>
      <c r="B32" s="61"/>
      <c r="C32" s="61"/>
      <c r="D32" s="61"/>
      <c r="E32" s="61"/>
      <c r="F32" s="61"/>
      <c r="G32" s="61"/>
      <c r="H32" s="61"/>
      <c r="I32" s="61"/>
      <c r="J32" s="61"/>
      <c r="K32" s="61"/>
      <c r="L32" s="61"/>
      <c r="M32" s="61"/>
      <c r="N32" s="61"/>
      <c r="O32" s="61"/>
      <c r="P32" s="61"/>
      <c r="Q32" s="61"/>
      <c r="R32" s="61"/>
      <c r="S32" s="61"/>
      <c r="T32" s="61"/>
      <c r="U32" s="61"/>
    </row>
  </sheetData>
  <phoneticPr fontId="0" type="noConversion"/>
  <pageMargins left="0.75" right="0.75" top="1" bottom="1" header="0" footer="0"/>
  <pageSetup paperSize="9" orientation="portrait"/>
  <headerFooter alignWithMargins="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1"/>
  <sheetViews>
    <sheetView zoomScaleNormal="90" zoomScalePageLayoutView="90" workbookViewId="0">
      <selection activeCell="A7" sqref="A7"/>
    </sheetView>
  </sheetViews>
  <sheetFormatPr baseColWidth="10" defaultRowHeight="13" x14ac:dyDescent="0.15"/>
  <cols>
    <col min="2" max="2" width="50.5" customWidth="1"/>
    <col min="19" max="21" width="16.6640625" customWidth="1"/>
  </cols>
  <sheetData>
    <row r="1" spans="1:21" s="1" customFormat="1" x14ac:dyDescent="0.15">
      <c r="C1" s="17" t="s">
        <v>0</v>
      </c>
      <c r="D1" s="17" t="s">
        <v>1</v>
      </c>
      <c r="E1" s="17" t="s">
        <v>2</v>
      </c>
      <c r="F1" s="17" t="s">
        <v>3</v>
      </c>
      <c r="G1" s="17" t="s">
        <v>4</v>
      </c>
      <c r="H1" s="17" t="s">
        <v>5</v>
      </c>
      <c r="I1" s="17" t="s">
        <v>6</v>
      </c>
      <c r="J1" s="17" t="s">
        <v>7</v>
      </c>
      <c r="K1" s="17" t="s">
        <v>8</v>
      </c>
      <c r="L1" s="17" t="s">
        <v>13</v>
      </c>
      <c r="M1" s="17" t="s">
        <v>14</v>
      </c>
      <c r="N1" s="17" t="s">
        <v>15</v>
      </c>
      <c r="O1" s="17" t="s">
        <v>16</v>
      </c>
      <c r="P1" s="17" t="s">
        <v>17</v>
      </c>
      <c r="Q1" s="17" t="s">
        <v>18</v>
      </c>
      <c r="R1" s="17" t="s">
        <v>19</v>
      </c>
      <c r="S1" s="17" t="s">
        <v>44</v>
      </c>
      <c r="T1" s="17" t="s">
        <v>66</v>
      </c>
      <c r="U1" s="17" t="s">
        <v>70</v>
      </c>
    </row>
    <row r="2" spans="1:21" s="1" customFormat="1" ht="14" thickBot="1" x14ac:dyDescent="0.2">
      <c r="C2" s="18" t="s">
        <v>9</v>
      </c>
      <c r="D2" s="18" t="s">
        <v>10</v>
      </c>
      <c r="E2" s="18" t="s">
        <v>9</v>
      </c>
      <c r="F2" s="18" t="s">
        <v>11</v>
      </c>
      <c r="G2" s="18" t="s">
        <v>9</v>
      </c>
      <c r="H2" s="18" t="s">
        <v>12</v>
      </c>
      <c r="I2" s="18" t="s">
        <v>12</v>
      </c>
      <c r="J2" s="18" t="s">
        <v>12</v>
      </c>
      <c r="K2" s="18" t="s">
        <v>12</v>
      </c>
      <c r="L2" s="18" t="s">
        <v>12</v>
      </c>
      <c r="M2" s="18" t="s">
        <v>12</v>
      </c>
      <c r="N2" s="18" t="s">
        <v>12</v>
      </c>
      <c r="O2" s="18" t="s">
        <v>12</v>
      </c>
      <c r="P2" s="18" t="s">
        <v>12</v>
      </c>
      <c r="Q2" s="18" t="s">
        <v>20</v>
      </c>
      <c r="R2" s="18" t="s">
        <v>20</v>
      </c>
      <c r="S2" s="18" t="s">
        <v>46</v>
      </c>
      <c r="T2" s="18" t="s">
        <v>12</v>
      </c>
      <c r="U2" s="18" t="s">
        <v>12</v>
      </c>
    </row>
    <row r="3" spans="1:21" ht="17" thickBot="1" x14ac:dyDescent="0.25">
      <c r="A3" s="57" t="s">
        <v>92</v>
      </c>
      <c r="B3" s="19" t="s">
        <v>37</v>
      </c>
    </row>
    <row r="4" spans="1:21" x14ac:dyDescent="0.15">
      <c r="A4" s="20"/>
      <c r="B4" s="24" t="s">
        <v>211</v>
      </c>
      <c r="C4" s="4">
        <v>0.1</v>
      </c>
      <c r="D4" s="4">
        <v>400</v>
      </c>
      <c r="E4" s="4">
        <v>0</v>
      </c>
      <c r="F4" s="4">
        <v>0</v>
      </c>
      <c r="G4" s="4">
        <v>100</v>
      </c>
      <c r="H4" s="4">
        <v>0</v>
      </c>
      <c r="I4" s="4">
        <v>2</v>
      </c>
      <c r="J4" s="4">
        <v>0</v>
      </c>
      <c r="K4" s="4">
        <v>0</v>
      </c>
      <c r="L4" s="4">
        <v>0</v>
      </c>
      <c r="M4" s="4">
        <v>0</v>
      </c>
      <c r="N4" s="4">
        <v>0</v>
      </c>
      <c r="O4" s="4">
        <v>0</v>
      </c>
      <c r="P4" s="4">
        <v>0</v>
      </c>
      <c r="Q4" s="4">
        <v>0</v>
      </c>
      <c r="R4" s="4">
        <v>0</v>
      </c>
      <c r="S4" s="4">
        <v>0.5</v>
      </c>
      <c r="T4" s="4">
        <v>0</v>
      </c>
      <c r="U4" s="4">
        <v>1</v>
      </c>
    </row>
    <row r="5" spans="1:21" x14ac:dyDescent="0.15">
      <c r="A5" s="21"/>
      <c r="B5" s="23" t="s">
        <v>212</v>
      </c>
      <c r="C5" s="4">
        <v>30</v>
      </c>
      <c r="D5" s="4">
        <v>278</v>
      </c>
      <c r="E5" s="4">
        <v>0.5</v>
      </c>
      <c r="F5" s="4">
        <v>0</v>
      </c>
      <c r="G5" s="4">
        <v>69</v>
      </c>
      <c r="H5" s="4">
        <v>14</v>
      </c>
      <c r="I5" s="4">
        <v>105</v>
      </c>
      <c r="J5" s="4">
        <v>14</v>
      </c>
      <c r="K5" s="4">
        <v>12</v>
      </c>
      <c r="L5" s="4">
        <v>0.6</v>
      </c>
      <c r="M5" s="4">
        <v>5</v>
      </c>
      <c r="N5" s="4">
        <v>0</v>
      </c>
      <c r="O5" s="4">
        <v>0</v>
      </c>
      <c r="P5" s="4">
        <v>0</v>
      </c>
      <c r="Q5" s="4">
        <v>0</v>
      </c>
      <c r="R5" s="4">
        <v>0</v>
      </c>
      <c r="S5" s="4">
        <v>0.4</v>
      </c>
      <c r="T5" s="4">
        <v>0</v>
      </c>
      <c r="U5" s="4">
        <v>6</v>
      </c>
    </row>
    <row r="6" spans="1:21" x14ac:dyDescent="0.15">
      <c r="A6" s="21"/>
      <c r="B6" s="23" t="s">
        <v>213</v>
      </c>
      <c r="C6" s="4">
        <v>23</v>
      </c>
      <c r="D6" s="4">
        <v>301</v>
      </c>
      <c r="E6" s="4">
        <v>0.4</v>
      </c>
      <c r="F6" s="4">
        <v>0</v>
      </c>
      <c r="G6" s="4">
        <v>75</v>
      </c>
      <c r="H6" s="4">
        <v>7</v>
      </c>
      <c r="I6" s="4">
        <v>36</v>
      </c>
      <c r="J6" s="4">
        <v>17</v>
      </c>
      <c r="K6" s="4">
        <v>5</v>
      </c>
      <c r="L6" s="4">
        <v>0.4</v>
      </c>
      <c r="M6" s="4">
        <v>0</v>
      </c>
      <c r="N6" s="4">
        <v>0</v>
      </c>
      <c r="O6" s="4">
        <v>0.05</v>
      </c>
      <c r="P6" s="4">
        <v>0.2</v>
      </c>
      <c r="Q6" s="4">
        <v>0</v>
      </c>
      <c r="R6" s="4">
        <v>0</v>
      </c>
      <c r="S6" s="4">
        <v>0.5</v>
      </c>
      <c r="T6" s="4">
        <v>0</v>
      </c>
      <c r="U6" s="4">
        <v>5</v>
      </c>
    </row>
    <row r="7" spans="1:21" x14ac:dyDescent="0.15">
      <c r="A7" s="26">
        <v>15</v>
      </c>
      <c r="B7" s="23" t="s">
        <v>214</v>
      </c>
      <c r="C7" s="4">
        <v>3</v>
      </c>
      <c r="D7" s="4">
        <v>383</v>
      </c>
      <c r="E7" s="4">
        <v>6</v>
      </c>
      <c r="F7" s="4">
        <v>6</v>
      </c>
      <c r="G7" s="4">
        <v>76.2</v>
      </c>
      <c r="H7" s="4">
        <v>200</v>
      </c>
      <c r="I7" s="4">
        <v>550</v>
      </c>
      <c r="J7" s="4">
        <v>210</v>
      </c>
      <c r="K7" s="4">
        <v>40</v>
      </c>
      <c r="L7" s="4">
        <v>3.7</v>
      </c>
      <c r="M7" s="4">
        <v>0</v>
      </c>
      <c r="N7" s="4">
        <v>0.04</v>
      </c>
      <c r="O7" s="4">
        <v>0.04</v>
      </c>
      <c r="P7" s="4">
        <v>0.7</v>
      </c>
      <c r="Q7" s="4">
        <v>0</v>
      </c>
      <c r="R7" s="4">
        <v>0</v>
      </c>
      <c r="S7" s="4">
        <v>0.55000000000000004</v>
      </c>
      <c r="T7" s="4">
        <v>0</v>
      </c>
      <c r="U7" s="4">
        <v>160</v>
      </c>
    </row>
    <row r="8" spans="1:21" x14ac:dyDescent="0.15">
      <c r="A8" s="21"/>
      <c r="B8" s="23" t="s">
        <v>215</v>
      </c>
      <c r="C8" s="4">
        <v>1.4</v>
      </c>
      <c r="D8" s="4">
        <v>546</v>
      </c>
      <c r="E8" s="4">
        <v>8</v>
      </c>
      <c r="F8" s="4">
        <v>32</v>
      </c>
      <c r="G8" s="4">
        <v>56.5</v>
      </c>
      <c r="H8" s="4">
        <v>100</v>
      </c>
      <c r="I8" s="4">
        <v>440</v>
      </c>
      <c r="J8" s="4">
        <v>255</v>
      </c>
      <c r="K8" s="4">
        <v>220</v>
      </c>
      <c r="L8" s="4">
        <v>1.8</v>
      </c>
      <c r="M8" s="4">
        <v>0</v>
      </c>
      <c r="N8" s="4">
        <v>0.1</v>
      </c>
      <c r="O8" s="4">
        <v>0.35</v>
      </c>
      <c r="P8" s="4">
        <v>0.5</v>
      </c>
      <c r="Q8" s="4">
        <v>40</v>
      </c>
      <c r="R8" s="4">
        <v>0</v>
      </c>
      <c r="S8" s="4">
        <v>0.8</v>
      </c>
      <c r="T8" s="4">
        <v>18</v>
      </c>
      <c r="U8" s="4">
        <v>42</v>
      </c>
    </row>
    <row r="9" spans="1:21" x14ac:dyDescent="0.15">
      <c r="A9" s="21"/>
      <c r="B9" s="23" t="s">
        <v>217</v>
      </c>
      <c r="C9" s="4">
        <v>23</v>
      </c>
      <c r="D9" s="4">
        <v>412</v>
      </c>
      <c r="E9" s="4">
        <v>6</v>
      </c>
      <c r="F9" s="4">
        <v>24.5</v>
      </c>
      <c r="G9" s="4">
        <v>42</v>
      </c>
      <c r="H9" s="4">
        <v>225</v>
      </c>
      <c r="I9" s="4">
        <v>90</v>
      </c>
      <c r="J9" s="4">
        <v>95</v>
      </c>
      <c r="K9" s="4">
        <v>35</v>
      </c>
      <c r="L9" s="4">
        <v>1.6</v>
      </c>
      <c r="M9" s="4">
        <v>0</v>
      </c>
      <c r="N9" s="4">
        <v>0.14000000000000001</v>
      </c>
      <c r="O9" s="4">
        <v>0.1</v>
      </c>
      <c r="P9" s="4">
        <v>0.95</v>
      </c>
      <c r="Q9" s="4">
        <v>270</v>
      </c>
      <c r="R9" s="4">
        <v>180</v>
      </c>
      <c r="S9" s="4">
        <v>1.1000000000000001</v>
      </c>
      <c r="T9" s="4">
        <v>21</v>
      </c>
      <c r="U9" s="4">
        <v>14</v>
      </c>
    </row>
    <row r="10" spans="1:21" x14ac:dyDescent="0.15">
      <c r="A10" s="21"/>
      <c r="B10" s="23" t="s">
        <v>216</v>
      </c>
      <c r="C10" s="23">
        <v>14.8</v>
      </c>
      <c r="D10" s="4">
        <v>405</v>
      </c>
      <c r="E10" s="4">
        <v>7.5</v>
      </c>
      <c r="F10" s="4">
        <v>17.2</v>
      </c>
      <c r="G10" s="4">
        <v>55</v>
      </c>
      <c r="H10" s="4">
        <v>492</v>
      </c>
      <c r="I10" s="4">
        <v>201</v>
      </c>
      <c r="J10" s="4">
        <v>160</v>
      </c>
      <c r="K10" s="4">
        <v>42</v>
      </c>
      <c r="L10" s="4">
        <v>1.2</v>
      </c>
      <c r="M10" s="4">
        <v>0</v>
      </c>
      <c r="N10" s="4">
        <v>0.3</v>
      </c>
      <c r="O10" s="4">
        <v>0.2</v>
      </c>
      <c r="P10" s="4">
        <v>2.2999999999999998</v>
      </c>
      <c r="Q10" s="4">
        <v>70</v>
      </c>
      <c r="R10" s="4">
        <v>21</v>
      </c>
      <c r="S10" s="4">
        <v>0.78</v>
      </c>
      <c r="T10" s="4">
        <v>50</v>
      </c>
      <c r="U10" s="4">
        <v>16</v>
      </c>
    </row>
    <row r="11" spans="1:21" x14ac:dyDescent="0.15">
      <c r="A11" s="21"/>
      <c r="B11" s="4"/>
      <c r="C11" s="4"/>
      <c r="D11" s="4"/>
      <c r="E11" s="4"/>
      <c r="F11" s="4"/>
      <c r="G11" s="4"/>
      <c r="H11" s="4"/>
      <c r="I11" s="4"/>
      <c r="J11" s="4"/>
      <c r="K11" s="4"/>
      <c r="L11" s="4"/>
      <c r="M11" s="4"/>
      <c r="N11" s="4"/>
      <c r="O11" s="4"/>
      <c r="P11" s="4"/>
      <c r="Q11" s="4"/>
      <c r="R11" s="4"/>
      <c r="S11" s="4"/>
      <c r="T11" s="4"/>
      <c r="U11" s="4"/>
    </row>
    <row r="12" spans="1:21" x14ac:dyDescent="0.15">
      <c r="A12" s="21"/>
      <c r="B12" s="4"/>
      <c r="C12" s="4"/>
      <c r="D12" s="4"/>
      <c r="E12" s="4"/>
      <c r="F12" s="4"/>
      <c r="G12" s="4"/>
      <c r="H12" s="4"/>
      <c r="I12" s="4"/>
      <c r="J12" s="4"/>
      <c r="K12" s="4"/>
      <c r="L12" s="4"/>
      <c r="M12" s="4"/>
      <c r="N12" s="4"/>
      <c r="O12" s="4"/>
      <c r="P12" s="4"/>
      <c r="Q12" s="4"/>
      <c r="R12" s="4"/>
      <c r="S12" s="4"/>
      <c r="T12" s="4"/>
      <c r="U12" s="4"/>
    </row>
    <row r="13" spans="1:21" x14ac:dyDescent="0.15">
      <c r="A13" s="21"/>
      <c r="B13" s="4"/>
      <c r="C13" s="4"/>
      <c r="D13" s="4"/>
      <c r="E13" s="4"/>
      <c r="F13" s="4"/>
      <c r="G13" s="4"/>
      <c r="H13" s="4"/>
      <c r="I13" s="4"/>
      <c r="J13" s="4"/>
      <c r="K13" s="4"/>
      <c r="L13" s="4"/>
      <c r="M13" s="4"/>
      <c r="N13" s="4"/>
      <c r="O13" s="4"/>
      <c r="P13" s="4"/>
      <c r="Q13" s="4"/>
      <c r="R13" s="4"/>
      <c r="S13" s="4"/>
      <c r="T13" s="4"/>
      <c r="U13" s="4"/>
    </row>
    <row r="14" spans="1:21" x14ac:dyDescent="0.15">
      <c r="A14" s="21"/>
      <c r="B14" s="4"/>
      <c r="C14" s="4"/>
      <c r="D14" s="4"/>
      <c r="E14" s="4"/>
      <c r="F14" s="4"/>
      <c r="G14" s="4"/>
      <c r="H14" s="4"/>
      <c r="I14" s="4"/>
      <c r="J14" s="4"/>
      <c r="K14" s="4"/>
      <c r="L14" s="4"/>
      <c r="M14" s="4"/>
      <c r="N14" s="4"/>
      <c r="O14" s="4"/>
      <c r="P14" s="4"/>
      <c r="Q14" s="4"/>
      <c r="R14" s="4"/>
      <c r="S14" s="4"/>
      <c r="T14" s="4"/>
      <c r="U14" s="4"/>
    </row>
    <row r="15" spans="1:21" ht="14" thickBot="1" x14ac:dyDescent="0.2">
      <c r="A15" s="22"/>
      <c r="B15" s="61"/>
      <c r="C15" s="61"/>
      <c r="D15" s="61"/>
      <c r="E15" s="61"/>
      <c r="F15" s="61"/>
      <c r="G15" s="61"/>
      <c r="H15" s="61"/>
      <c r="I15" s="61"/>
      <c r="J15" s="61"/>
      <c r="K15" s="61"/>
      <c r="L15" s="61"/>
      <c r="M15" s="61"/>
      <c r="N15" s="61"/>
      <c r="O15" s="61"/>
      <c r="P15" s="61"/>
      <c r="Q15" s="61"/>
      <c r="R15" s="61"/>
      <c r="S15" s="61"/>
      <c r="T15" s="61"/>
      <c r="U15" s="61"/>
    </row>
    <row r="16" spans="1:21" ht="14" thickBot="1" x14ac:dyDescent="0.2"/>
    <row r="17" spans="1:21" s="1" customFormat="1" x14ac:dyDescent="0.15">
      <c r="C17" s="17" t="s">
        <v>0</v>
      </c>
      <c r="D17" s="17" t="s">
        <v>1</v>
      </c>
      <c r="E17" s="17" t="s">
        <v>2</v>
      </c>
      <c r="F17" s="17" t="s">
        <v>3</v>
      </c>
      <c r="G17" s="17" t="s">
        <v>4</v>
      </c>
      <c r="H17" s="17" t="s">
        <v>5</v>
      </c>
      <c r="I17" s="17" t="s">
        <v>6</v>
      </c>
      <c r="J17" s="17" t="s">
        <v>7</v>
      </c>
      <c r="K17" s="17" t="s">
        <v>8</v>
      </c>
      <c r="L17" s="17" t="s">
        <v>13</v>
      </c>
      <c r="M17" s="17" t="s">
        <v>14</v>
      </c>
      <c r="N17" s="17" t="s">
        <v>15</v>
      </c>
      <c r="O17" s="17" t="s">
        <v>16</v>
      </c>
      <c r="P17" s="17" t="s">
        <v>17</v>
      </c>
      <c r="Q17" s="17" t="s">
        <v>18</v>
      </c>
      <c r="R17" s="17" t="s">
        <v>19</v>
      </c>
      <c r="S17" s="17" t="s">
        <v>44</v>
      </c>
      <c r="T17" s="17" t="s">
        <v>66</v>
      </c>
      <c r="U17" s="17" t="s">
        <v>70</v>
      </c>
    </row>
    <row r="18" spans="1:21" s="1" customFormat="1" ht="14" thickBot="1" x14ac:dyDescent="0.2">
      <c r="C18" s="18" t="s">
        <v>9</v>
      </c>
      <c r="D18" s="18" t="s">
        <v>10</v>
      </c>
      <c r="E18" s="18" t="s">
        <v>9</v>
      </c>
      <c r="F18" s="18" t="s">
        <v>11</v>
      </c>
      <c r="G18" s="18" t="s">
        <v>9</v>
      </c>
      <c r="H18" s="18" t="s">
        <v>12</v>
      </c>
      <c r="I18" s="18" t="s">
        <v>12</v>
      </c>
      <c r="J18" s="18" t="s">
        <v>12</v>
      </c>
      <c r="K18" s="18" t="s">
        <v>12</v>
      </c>
      <c r="L18" s="18" t="s">
        <v>12</v>
      </c>
      <c r="M18" s="18" t="s">
        <v>12</v>
      </c>
      <c r="N18" s="18" t="s">
        <v>12</v>
      </c>
      <c r="O18" s="18" t="s">
        <v>12</v>
      </c>
      <c r="P18" s="18" t="s">
        <v>12</v>
      </c>
      <c r="Q18" s="18" t="s">
        <v>20</v>
      </c>
      <c r="R18" s="18" t="s">
        <v>20</v>
      </c>
      <c r="S18" s="18" t="s">
        <v>46</v>
      </c>
      <c r="T18" s="18" t="s">
        <v>12</v>
      </c>
      <c r="U18" s="18" t="s">
        <v>12</v>
      </c>
    </row>
    <row r="19" spans="1:21" ht="17" thickBot="1" x14ac:dyDescent="0.25">
      <c r="A19" s="57" t="s">
        <v>92</v>
      </c>
      <c r="B19" s="19" t="s">
        <v>38</v>
      </c>
    </row>
    <row r="20" spans="1:21" x14ac:dyDescent="0.15">
      <c r="A20" s="20"/>
      <c r="B20" s="24" t="s">
        <v>218</v>
      </c>
      <c r="C20" s="4">
        <v>77.8</v>
      </c>
      <c r="D20" s="4">
        <v>99</v>
      </c>
      <c r="E20" s="4">
        <v>1.2</v>
      </c>
      <c r="F20" s="4">
        <v>2.7</v>
      </c>
      <c r="G20" s="4">
        <v>17.399999999999999</v>
      </c>
      <c r="H20" s="4">
        <v>70</v>
      </c>
      <c r="I20" s="4">
        <v>250</v>
      </c>
      <c r="J20" s="4">
        <v>30</v>
      </c>
      <c r="K20" s="4">
        <v>25</v>
      </c>
      <c r="L20" s="4">
        <v>0.1</v>
      </c>
      <c r="M20" s="4">
        <v>2</v>
      </c>
      <c r="N20" s="4">
        <v>0.03</v>
      </c>
      <c r="O20" s="4">
        <v>0.1</v>
      </c>
      <c r="P20" s="4">
        <v>0.1</v>
      </c>
      <c r="Q20" s="4">
        <v>0</v>
      </c>
      <c r="R20" s="4">
        <v>0</v>
      </c>
      <c r="S20" s="4">
        <v>0.12</v>
      </c>
      <c r="T20" s="4">
        <v>0</v>
      </c>
      <c r="U20" s="4">
        <v>19</v>
      </c>
    </row>
    <row r="21" spans="1:21" x14ac:dyDescent="0.15">
      <c r="A21" s="21"/>
      <c r="B21" s="23" t="s">
        <v>219</v>
      </c>
      <c r="C21" s="4">
        <v>89</v>
      </c>
      <c r="D21" s="4">
        <v>42</v>
      </c>
      <c r="E21" s="4">
        <v>0</v>
      </c>
      <c r="F21" s="4">
        <v>0</v>
      </c>
      <c r="G21" s="4">
        <v>10.5</v>
      </c>
      <c r="H21" s="4">
        <v>9</v>
      </c>
      <c r="I21" s="4">
        <v>1</v>
      </c>
      <c r="J21" s="4">
        <v>10</v>
      </c>
      <c r="K21" s="4">
        <v>5</v>
      </c>
      <c r="L21" s="4">
        <v>0</v>
      </c>
      <c r="M21" s="4">
        <v>0</v>
      </c>
      <c r="N21" s="4">
        <v>0</v>
      </c>
      <c r="O21" s="4">
        <v>0</v>
      </c>
      <c r="P21" s="4">
        <v>0</v>
      </c>
      <c r="Q21" s="4">
        <v>0</v>
      </c>
      <c r="R21" s="4">
        <v>0</v>
      </c>
      <c r="S21" s="4">
        <v>0.15</v>
      </c>
      <c r="T21" s="4">
        <v>0</v>
      </c>
      <c r="U21" s="4">
        <v>1</v>
      </c>
    </row>
    <row r="22" spans="1:21" x14ac:dyDescent="0.15">
      <c r="A22" s="21"/>
      <c r="B22" s="23" t="s">
        <v>220</v>
      </c>
      <c r="C22" s="4">
        <v>87.8</v>
      </c>
      <c r="D22" s="4">
        <v>48</v>
      </c>
      <c r="E22" s="4">
        <v>0.5</v>
      </c>
      <c r="F22" s="4">
        <v>0.5</v>
      </c>
      <c r="G22" s="4">
        <v>10.4</v>
      </c>
      <c r="H22" s="4">
        <v>5</v>
      </c>
      <c r="I22" s="4">
        <v>145</v>
      </c>
      <c r="J22" s="4">
        <v>15</v>
      </c>
      <c r="K22" s="4">
        <v>9</v>
      </c>
      <c r="L22" s="4">
        <v>0.3</v>
      </c>
      <c r="M22" s="4">
        <v>34</v>
      </c>
      <c r="N22" s="4">
        <v>7.0000000000000007E-2</v>
      </c>
      <c r="O22" s="4">
        <v>0.02</v>
      </c>
      <c r="P22" s="4">
        <v>0.3</v>
      </c>
      <c r="Q22" s="4">
        <v>80</v>
      </c>
      <c r="R22" s="4">
        <v>0</v>
      </c>
      <c r="S22" s="4">
        <v>0.2</v>
      </c>
      <c r="T22" s="4">
        <v>0</v>
      </c>
      <c r="U22" s="4">
        <v>8</v>
      </c>
    </row>
    <row r="23" spans="1:21" x14ac:dyDescent="0.15">
      <c r="A23" s="21"/>
      <c r="B23" s="23" t="s">
        <v>221</v>
      </c>
      <c r="C23" s="4">
        <v>93.5</v>
      </c>
      <c r="D23" s="4">
        <v>20</v>
      </c>
      <c r="E23" s="4">
        <v>0.8</v>
      </c>
      <c r="F23" s="4">
        <v>0.1</v>
      </c>
      <c r="G23" s="4">
        <v>4</v>
      </c>
      <c r="H23" s="4">
        <v>270</v>
      </c>
      <c r="I23" s="4">
        <v>245</v>
      </c>
      <c r="J23" s="4">
        <v>18</v>
      </c>
      <c r="K23" s="4">
        <v>8</v>
      </c>
      <c r="L23" s="4">
        <v>0.6</v>
      </c>
      <c r="M23" s="4">
        <v>16</v>
      </c>
      <c r="N23" s="4">
        <v>0.05</v>
      </c>
      <c r="O23" s="4">
        <v>0.03</v>
      </c>
      <c r="P23" s="4">
        <v>0.7</v>
      </c>
      <c r="Q23" s="4">
        <v>540</v>
      </c>
      <c r="R23" s="4">
        <v>0</v>
      </c>
      <c r="S23" s="4">
        <v>0.2</v>
      </c>
      <c r="T23" s="4">
        <v>0</v>
      </c>
      <c r="U23" s="4">
        <v>10</v>
      </c>
    </row>
    <row r="24" spans="1:21" x14ac:dyDescent="0.15">
      <c r="A24" s="21"/>
      <c r="B24" s="23" t="s">
        <v>222</v>
      </c>
      <c r="C24" s="4">
        <v>94</v>
      </c>
      <c r="D24" s="4">
        <v>36</v>
      </c>
      <c r="E24" s="4">
        <v>0.3</v>
      </c>
      <c r="F24" s="4">
        <v>0.01</v>
      </c>
      <c r="G24" s="4">
        <v>3</v>
      </c>
      <c r="H24" s="4">
        <v>5</v>
      </c>
      <c r="I24" s="4">
        <v>30</v>
      </c>
      <c r="J24" s="4">
        <v>13</v>
      </c>
      <c r="K24" s="4">
        <v>6</v>
      </c>
      <c r="L24" s="4">
        <v>0.03</v>
      </c>
      <c r="M24" s="4">
        <v>0</v>
      </c>
      <c r="N24" s="4">
        <v>0.01</v>
      </c>
      <c r="O24" s="4">
        <v>0.02</v>
      </c>
      <c r="P24" s="4">
        <v>0.6</v>
      </c>
      <c r="Q24" s="4">
        <v>0</v>
      </c>
      <c r="R24" s="4">
        <v>0</v>
      </c>
      <c r="S24" s="4">
        <v>0.15</v>
      </c>
      <c r="T24" s="4">
        <v>0</v>
      </c>
      <c r="U24" s="4">
        <v>7</v>
      </c>
    </row>
    <row r="25" spans="1:21" x14ac:dyDescent="0.15">
      <c r="A25" s="21"/>
      <c r="B25" s="23" t="s">
        <v>223</v>
      </c>
      <c r="C25" s="4">
        <v>91</v>
      </c>
      <c r="D25" s="4">
        <v>70</v>
      </c>
      <c r="E25" s="4">
        <v>0.2</v>
      </c>
      <c r="F25" s="4">
        <v>0</v>
      </c>
      <c r="G25" s="4">
        <v>2</v>
      </c>
      <c r="H25" s="4">
        <v>5</v>
      </c>
      <c r="I25" s="4">
        <v>100</v>
      </c>
      <c r="J25" s="4">
        <v>20</v>
      </c>
      <c r="K25" s="4">
        <v>7</v>
      </c>
      <c r="L25" s="4">
        <v>0.4</v>
      </c>
      <c r="M25" s="4">
        <v>0</v>
      </c>
      <c r="N25" s="4">
        <v>0.01</v>
      </c>
      <c r="O25" s="4">
        <v>0.02</v>
      </c>
      <c r="P25" s="4">
        <v>0.08</v>
      </c>
      <c r="Q25" s="4">
        <v>0</v>
      </c>
      <c r="R25" s="4">
        <v>0</v>
      </c>
      <c r="S25" s="4">
        <v>0.4</v>
      </c>
      <c r="T25" s="4">
        <v>0</v>
      </c>
      <c r="U25" s="4">
        <v>10</v>
      </c>
    </row>
    <row r="26" spans="1:21" x14ac:dyDescent="0.15">
      <c r="A26" s="21"/>
      <c r="B26" s="23" t="s">
        <v>224</v>
      </c>
      <c r="C26" s="4">
        <v>46</v>
      </c>
      <c r="D26" s="4">
        <v>263</v>
      </c>
      <c r="E26" s="4">
        <v>0.1</v>
      </c>
      <c r="F26" s="4">
        <v>0.1</v>
      </c>
      <c r="G26" s="4">
        <v>29.4</v>
      </c>
      <c r="H26" s="4">
        <v>6</v>
      </c>
      <c r="I26" s="4">
        <v>35</v>
      </c>
      <c r="J26" s="4">
        <v>20</v>
      </c>
      <c r="K26" s="4">
        <v>6</v>
      </c>
      <c r="L26" s="4">
        <v>7.0000000000000007E-2</v>
      </c>
      <c r="M26" s="4">
        <v>0</v>
      </c>
      <c r="N26" s="4">
        <v>0.01</v>
      </c>
      <c r="O26" s="4">
        <v>0.02</v>
      </c>
      <c r="P26" s="4">
        <v>0</v>
      </c>
      <c r="Q26" s="4">
        <v>0</v>
      </c>
      <c r="R26" s="4">
        <v>0</v>
      </c>
      <c r="S26" s="4">
        <v>0.4</v>
      </c>
      <c r="T26" s="4">
        <v>0</v>
      </c>
      <c r="U26" s="4">
        <v>6</v>
      </c>
    </row>
    <row r="27" spans="1:21" x14ac:dyDescent="0.15">
      <c r="A27" s="21"/>
      <c r="B27" s="23" t="s">
        <v>225</v>
      </c>
      <c r="C27" s="4">
        <v>64</v>
      </c>
      <c r="D27" s="4">
        <v>252</v>
      </c>
      <c r="E27" s="4">
        <v>0</v>
      </c>
      <c r="F27" s="4">
        <v>0</v>
      </c>
      <c r="G27" s="4">
        <v>0</v>
      </c>
      <c r="H27" s="4">
        <v>0.6</v>
      </c>
      <c r="I27" s="4">
        <v>2</v>
      </c>
      <c r="J27" s="4">
        <v>0</v>
      </c>
      <c r="K27" s="4">
        <v>0</v>
      </c>
      <c r="L27" s="4">
        <v>0</v>
      </c>
      <c r="M27" s="4">
        <v>0</v>
      </c>
      <c r="N27" s="4">
        <v>0</v>
      </c>
      <c r="O27" s="4">
        <v>0</v>
      </c>
      <c r="P27" s="4">
        <v>0</v>
      </c>
      <c r="Q27" s="4">
        <v>0</v>
      </c>
      <c r="R27" s="4">
        <v>0</v>
      </c>
      <c r="S27" s="4">
        <v>1.2</v>
      </c>
      <c r="T27" s="4">
        <v>0</v>
      </c>
      <c r="U27" s="4">
        <v>0</v>
      </c>
    </row>
    <row r="28" spans="1:21" x14ac:dyDescent="0.15">
      <c r="A28" s="21"/>
      <c r="B28" s="4"/>
      <c r="C28" s="4"/>
      <c r="D28" s="4"/>
      <c r="E28" s="4"/>
      <c r="F28" s="4"/>
      <c r="G28" s="4"/>
      <c r="H28" s="4"/>
      <c r="I28" s="4"/>
      <c r="J28" s="4"/>
      <c r="K28" s="4"/>
      <c r="L28" s="4"/>
      <c r="M28" s="4"/>
      <c r="N28" s="4"/>
      <c r="O28" s="4"/>
      <c r="P28" s="4"/>
      <c r="Q28" s="4"/>
      <c r="R28" s="4"/>
      <c r="S28" s="4"/>
      <c r="T28" s="4"/>
      <c r="U28" s="4"/>
    </row>
    <row r="29" spans="1:21" x14ac:dyDescent="0.15">
      <c r="A29" s="21"/>
      <c r="B29" s="4"/>
      <c r="C29" s="4"/>
      <c r="D29" s="4"/>
      <c r="E29" s="4"/>
      <c r="F29" s="4"/>
      <c r="G29" s="4"/>
      <c r="H29" s="4"/>
      <c r="I29" s="4"/>
      <c r="J29" s="4"/>
      <c r="K29" s="4"/>
      <c r="L29" s="4"/>
      <c r="M29" s="4"/>
      <c r="N29" s="4"/>
      <c r="O29" s="4"/>
      <c r="P29" s="4"/>
      <c r="Q29" s="4"/>
      <c r="R29" s="4"/>
      <c r="S29" s="4"/>
      <c r="T29" s="4"/>
      <c r="U29" s="4"/>
    </row>
    <row r="30" spans="1:21" x14ac:dyDescent="0.15">
      <c r="A30" s="21"/>
      <c r="B30" s="4"/>
      <c r="C30" s="4"/>
      <c r="D30" s="4"/>
      <c r="E30" s="4"/>
      <c r="F30" s="4"/>
      <c r="G30" s="4"/>
      <c r="H30" s="4"/>
      <c r="I30" s="4"/>
      <c r="J30" s="4"/>
      <c r="K30" s="4"/>
      <c r="L30" s="4"/>
      <c r="M30" s="4"/>
      <c r="N30" s="4"/>
      <c r="O30" s="4"/>
      <c r="P30" s="4"/>
      <c r="Q30" s="4"/>
      <c r="R30" s="4"/>
      <c r="S30" s="4"/>
      <c r="T30" s="4"/>
      <c r="U30" s="4"/>
    </row>
    <row r="31" spans="1:21" ht="14" thickBot="1" x14ac:dyDescent="0.2">
      <c r="A31" s="22"/>
      <c r="B31" s="61"/>
      <c r="C31" s="61"/>
      <c r="D31" s="61"/>
      <c r="E31" s="61"/>
      <c r="F31" s="61"/>
      <c r="G31" s="61"/>
      <c r="H31" s="61"/>
      <c r="I31" s="61"/>
      <c r="J31" s="61"/>
      <c r="K31" s="61"/>
      <c r="L31" s="61"/>
      <c r="M31" s="61"/>
      <c r="N31" s="61"/>
      <c r="O31" s="61"/>
      <c r="P31" s="61"/>
      <c r="Q31" s="61"/>
      <c r="R31" s="61"/>
      <c r="S31" s="61"/>
      <c r="T31" s="61"/>
      <c r="U31" s="61"/>
    </row>
  </sheetData>
  <phoneticPr fontId="0" type="noConversion"/>
  <pageMargins left="0.75" right="0.75" top="1" bottom="1" header="0" footer="0"/>
  <pageSetup paperSize="9" orientation="portrait" horizontalDpi="0" verticalDpi="0"/>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07"/>
  <sheetViews>
    <sheetView zoomScale="90" zoomScaleNormal="90" zoomScalePageLayoutView="90" workbookViewId="0">
      <selection activeCell="A4" sqref="A4"/>
    </sheetView>
  </sheetViews>
  <sheetFormatPr baseColWidth="10" defaultRowHeight="13" x14ac:dyDescent="0.15"/>
  <cols>
    <col min="2" max="2" width="61" customWidth="1"/>
    <col min="3" max="3" width="11.6640625" bestFit="1" customWidth="1"/>
    <col min="6" max="6" width="15.33203125" customWidth="1"/>
    <col min="7" max="7" width="16.1640625" customWidth="1"/>
    <col min="9" max="9" width="13" customWidth="1"/>
    <col min="13" max="13" width="13.33203125" customWidth="1"/>
    <col min="14" max="14" width="10.5" customWidth="1"/>
    <col min="15" max="15" width="13.1640625" customWidth="1"/>
    <col min="19" max="19" width="16.83203125" customWidth="1"/>
    <col min="20" max="20" width="16.6640625" customWidth="1"/>
  </cols>
  <sheetData>
    <row r="1" spans="1:21" s="2" customFormat="1" ht="16" x14ac:dyDescent="0.2">
      <c r="C1" s="5" t="s">
        <v>0</v>
      </c>
      <c r="D1" s="5" t="s">
        <v>1</v>
      </c>
      <c r="E1" s="5" t="s">
        <v>2</v>
      </c>
      <c r="F1" s="5" t="s">
        <v>3</v>
      </c>
      <c r="G1" s="5" t="s">
        <v>4</v>
      </c>
      <c r="H1" s="5" t="s">
        <v>5</v>
      </c>
      <c r="I1" s="5" t="s">
        <v>6</v>
      </c>
      <c r="J1" s="5" t="s">
        <v>7</v>
      </c>
      <c r="K1" s="5" t="s">
        <v>8</v>
      </c>
      <c r="L1" s="5" t="s">
        <v>13</v>
      </c>
      <c r="M1" s="5" t="s">
        <v>14</v>
      </c>
      <c r="N1" s="5" t="s">
        <v>15</v>
      </c>
      <c r="O1" s="5" t="s">
        <v>16</v>
      </c>
      <c r="P1" s="5" t="s">
        <v>17</v>
      </c>
      <c r="Q1" s="5" t="s">
        <v>18</v>
      </c>
      <c r="R1" s="5" t="s">
        <v>19</v>
      </c>
      <c r="S1" s="5" t="s">
        <v>44</v>
      </c>
      <c r="T1" s="5" t="s">
        <v>66</v>
      </c>
      <c r="U1" s="5" t="s">
        <v>70</v>
      </c>
    </row>
    <row r="2" spans="1:21" s="2" customFormat="1" ht="17" thickBot="1" x14ac:dyDescent="0.25">
      <c r="C2" s="6" t="s">
        <v>9</v>
      </c>
      <c r="D2" s="6" t="s">
        <v>10</v>
      </c>
      <c r="E2" s="6" t="s">
        <v>9</v>
      </c>
      <c r="F2" s="6" t="s">
        <v>11</v>
      </c>
      <c r="G2" s="6" t="s">
        <v>9</v>
      </c>
      <c r="H2" s="6" t="s">
        <v>12</v>
      </c>
      <c r="I2" s="6" t="s">
        <v>12</v>
      </c>
      <c r="J2" s="6" t="s">
        <v>12</v>
      </c>
      <c r="K2" s="6" t="s">
        <v>12</v>
      </c>
      <c r="L2" s="6" t="s">
        <v>12</v>
      </c>
      <c r="M2" s="6" t="s">
        <v>12</v>
      </c>
      <c r="N2" s="6" t="s">
        <v>12</v>
      </c>
      <c r="O2" s="6" t="s">
        <v>12</v>
      </c>
      <c r="P2" s="6" t="s">
        <v>12</v>
      </c>
      <c r="Q2" s="6" t="s">
        <v>20</v>
      </c>
      <c r="R2" s="6" t="s">
        <v>20</v>
      </c>
      <c r="S2" s="6" t="s">
        <v>46</v>
      </c>
      <c r="T2" s="6" t="s">
        <v>12</v>
      </c>
      <c r="U2" s="6" t="s">
        <v>12</v>
      </c>
    </row>
    <row r="3" spans="1:21" ht="14" thickBot="1" x14ac:dyDescent="0.2"/>
    <row r="4" spans="1:21" x14ac:dyDescent="0.15">
      <c r="A4" s="7">
        <f>'Carnes y Pescados'!A4</f>
        <v>0</v>
      </c>
      <c r="B4" s="8" t="str">
        <f>'Carnes y Pescados'!B4</f>
        <v>Caballo</v>
      </c>
      <c r="C4" s="8">
        <f>'Carnes y Pescados'!$A4*'Carnes y Pescados'!C4/100</f>
        <v>0</v>
      </c>
      <c r="D4" s="8">
        <f>'Carnes y Pescados'!$A4*'Carnes y Pescados'!D4/100</f>
        <v>0</v>
      </c>
      <c r="E4" s="8">
        <f>'Carnes y Pescados'!$A4*'Carnes y Pescados'!E4/100</f>
        <v>0</v>
      </c>
      <c r="F4" s="8">
        <f>'Carnes y Pescados'!$A4*'Carnes y Pescados'!F4/100</f>
        <v>0</v>
      </c>
      <c r="G4" s="8">
        <f>'Carnes y Pescados'!$A4*'Carnes y Pescados'!G4/100</f>
        <v>0</v>
      </c>
      <c r="H4" s="8">
        <f>'Carnes y Pescados'!$A4*'Carnes y Pescados'!H4/100</f>
        <v>0</v>
      </c>
      <c r="I4" s="8">
        <f>'Carnes y Pescados'!$A4*'Carnes y Pescados'!I4/100</f>
        <v>0</v>
      </c>
      <c r="J4" s="8">
        <f>'Carnes y Pescados'!$A4*'Carnes y Pescados'!J4/100</f>
        <v>0</v>
      </c>
      <c r="K4" s="8">
        <f>'Carnes y Pescados'!$A4*'Carnes y Pescados'!K4/100</f>
        <v>0</v>
      </c>
      <c r="L4" s="8">
        <f>'Carnes y Pescados'!$A4*'Carnes y Pescados'!L4/100</f>
        <v>0</v>
      </c>
      <c r="M4" s="8">
        <f>'Carnes y Pescados'!$A4*'Carnes y Pescados'!M4/100</f>
        <v>0</v>
      </c>
      <c r="N4" s="8">
        <f>'Carnes y Pescados'!$A4*'Carnes y Pescados'!N4/100</f>
        <v>0</v>
      </c>
      <c r="O4" s="8">
        <f>'Carnes y Pescados'!$A4*'Carnes y Pescados'!O4/100</f>
        <v>0</v>
      </c>
      <c r="P4" s="8">
        <f>'Carnes y Pescados'!$A4*'Carnes y Pescados'!P4/100</f>
        <v>0</v>
      </c>
      <c r="Q4" s="8">
        <f>'Carnes y Pescados'!$A4*'Carnes y Pescados'!Q4/100</f>
        <v>0</v>
      </c>
      <c r="R4" s="9">
        <f>'Carnes y Pescados'!$A4*'Carnes y Pescados'!R4/100</f>
        <v>0</v>
      </c>
      <c r="S4" s="9">
        <f>'Carnes y Pescados'!$A4*'Carnes y Pescados'!S4/100</f>
        <v>0</v>
      </c>
      <c r="T4" s="9">
        <f>'Carnes y Pescados'!$A4*'Carnes y Pescados'!T4/100</f>
        <v>0</v>
      </c>
      <c r="U4" s="9">
        <f>'Carnes y Pescados'!$A4*'Carnes y Pescados'!U4/100</f>
        <v>0</v>
      </c>
    </row>
    <row r="5" spans="1:21" x14ac:dyDescent="0.15">
      <c r="A5" s="10">
        <f>'Carnes y Pescados'!A5</f>
        <v>150</v>
      </c>
      <c r="B5" s="4" t="str">
        <f>'Carnes y Pescados'!B5</f>
        <v>Ternera (Bistec)</v>
      </c>
      <c r="C5" s="4">
        <f>'Carnes y Pescados'!$A5*'Carnes y Pescados'!C5/100</f>
        <v>102.3</v>
      </c>
      <c r="D5" s="4">
        <f>'Carnes y Pescados'!$A5*'Carnes y Pescados'!D5/100</f>
        <v>262.5</v>
      </c>
      <c r="E5" s="4">
        <f>'Carnes y Pescados'!$A5*'Carnes y Pescados'!E5/100</f>
        <v>28.5</v>
      </c>
      <c r="F5" s="4">
        <f>'Carnes y Pescados'!$A5*'Carnes y Pescados'!F5/100</f>
        <v>16.5</v>
      </c>
      <c r="G5" s="4">
        <f>'Carnes y Pescados'!$A5*'Carnes y Pescados'!G5/100</f>
        <v>0</v>
      </c>
      <c r="H5" s="4">
        <f>'Carnes y Pescados'!$A5*'Carnes y Pescados'!H5/100</f>
        <v>105</v>
      </c>
      <c r="I5" s="4">
        <f>'Carnes y Pescados'!$A5*'Carnes y Pescados'!I5/100</f>
        <v>540</v>
      </c>
      <c r="J5" s="4">
        <f>'Carnes y Pescados'!$A5*'Carnes y Pescados'!J5/100</f>
        <v>304.5</v>
      </c>
      <c r="K5" s="4">
        <f>'Carnes y Pescados'!$A5*'Carnes y Pescados'!K5/100</f>
        <v>12</v>
      </c>
      <c r="L5" s="4">
        <f>'Carnes y Pescados'!$A5*'Carnes y Pescados'!L5/100</f>
        <v>4.3499999999999996</v>
      </c>
      <c r="M5" s="4">
        <f>'Carnes y Pescados'!$A5*'Carnes y Pescados'!M5/100</f>
        <v>0</v>
      </c>
      <c r="N5" s="4">
        <f>'Carnes y Pescados'!$A5*'Carnes y Pescados'!N5/100</f>
        <v>0.12</v>
      </c>
      <c r="O5" s="4">
        <f>'Carnes y Pescados'!$A5*'Carnes y Pescados'!O5/100</f>
        <v>0.315</v>
      </c>
      <c r="P5" s="4">
        <f>'Carnes y Pescados'!$A5*'Carnes y Pescados'!P5/100</f>
        <v>7.05</v>
      </c>
      <c r="Q5" s="4">
        <f>'Carnes y Pescados'!$A5*'Carnes y Pescados'!Q5/100</f>
        <v>0</v>
      </c>
      <c r="R5" s="11">
        <f>'Carnes y Pescados'!$A5*'Carnes y Pescados'!R5/100</f>
        <v>0</v>
      </c>
      <c r="S5" s="11">
        <f>'Carnes y Pescados'!$A5*'Carnes y Pescados'!S5/100</f>
        <v>1.335</v>
      </c>
      <c r="T5" s="11">
        <f>'Carnes y Pescados'!$A5*'Carnes y Pescados'!T5/100</f>
        <v>111</v>
      </c>
      <c r="U5" s="11">
        <f>'Carnes y Pescados'!$A5*'Carnes y Pescados'!U5/100</f>
        <v>30</v>
      </c>
    </row>
    <row r="6" spans="1:21" x14ac:dyDescent="0.15">
      <c r="A6" s="10">
        <f>'Carnes y Pescados'!A6</f>
        <v>0</v>
      </c>
      <c r="B6" s="4" t="str">
        <f>'Carnes y Pescados'!B6</f>
        <v>Cordero</v>
      </c>
      <c r="C6" s="4">
        <f>'Carnes y Pescados'!$A6*'Carnes y Pescados'!C6/100</f>
        <v>0</v>
      </c>
      <c r="D6" s="4">
        <f>'Carnes y Pescados'!$A6*'Carnes y Pescados'!D6/100</f>
        <v>0</v>
      </c>
      <c r="E6" s="4">
        <f>'Carnes y Pescados'!$A6*'Carnes y Pescados'!E6/100</f>
        <v>0</v>
      </c>
      <c r="F6" s="4">
        <f>'Carnes y Pescados'!$A6*'Carnes y Pescados'!F6/100</f>
        <v>0</v>
      </c>
      <c r="G6" s="4">
        <f>'Carnes y Pescados'!$A6*'Carnes y Pescados'!G6/100</f>
        <v>0</v>
      </c>
      <c r="H6" s="4">
        <f>'Carnes y Pescados'!$A6*'Carnes y Pescados'!H6/100</f>
        <v>0</v>
      </c>
      <c r="I6" s="4">
        <f>'Carnes y Pescados'!$A6*'Carnes y Pescados'!I6/100</f>
        <v>0</v>
      </c>
      <c r="J6" s="4">
        <f>'Carnes y Pescados'!$A6*'Carnes y Pescados'!J6/100</f>
        <v>0</v>
      </c>
      <c r="K6" s="4">
        <f>'Carnes y Pescados'!$A6*'Carnes y Pescados'!K6/100</f>
        <v>0</v>
      </c>
      <c r="L6" s="4">
        <f>'Carnes y Pescados'!$A6*'Carnes y Pescados'!L6/100</f>
        <v>0</v>
      </c>
      <c r="M6" s="4">
        <f>'Carnes y Pescados'!$A6*'Carnes y Pescados'!M6/100</f>
        <v>0</v>
      </c>
      <c r="N6" s="4">
        <f>'Carnes y Pescados'!$A6*'Carnes y Pescados'!N6/100</f>
        <v>0</v>
      </c>
      <c r="O6" s="4">
        <f>'Carnes y Pescados'!$A6*'Carnes y Pescados'!O6/100</f>
        <v>0</v>
      </c>
      <c r="P6" s="4">
        <f>'Carnes y Pescados'!$A6*'Carnes y Pescados'!P6/100</f>
        <v>0</v>
      </c>
      <c r="Q6" s="4">
        <f>'Carnes y Pescados'!$A6*'Carnes y Pescados'!Q6/100</f>
        <v>0</v>
      </c>
      <c r="R6" s="11">
        <f>'Carnes y Pescados'!$A6*'Carnes y Pescados'!R6/100</f>
        <v>0</v>
      </c>
      <c r="S6" s="11">
        <f>'Carnes y Pescados'!$A6*'Carnes y Pescados'!S6/100</f>
        <v>0</v>
      </c>
      <c r="T6" s="11">
        <f>'Carnes y Pescados'!$A6*'Carnes y Pescados'!T6/100</f>
        <v>0</v>
      </c>
      <c r="U6" s="11">
        <f>'Carnes y Pescados'!$A6*'Carnes y Pescados'!U6/100</f>
        <v>0</v>
      </c>
    </row>
    <row r="7" spans="1:21" x14ac:dyDescent="0.15">
      <c r="A7" s="10">
        <f>'Carnes y Pescados'!A7</f>
        <v>0</v>
      </c>
      <c r="B7" s="4" t="str">
        <f>'Carnes y Pescados'!B7</f>
        <v>Cerdo (Lomo)</v>
      </c>
      <c r="C7" s="4">
        <f>'Carnes y Pescados'!$A7*'Carnes y Pescados'!C7/100</f>
        <v>0</v>
      </c>
      <c r="D7" s="4">
        <f>'Carnes y Pescados'!$A7*'Carnes y Pescados'!D7/100</f>
        <v>0</v>
      </c>
      <c r="E7" s="4">
        <f>'Carnes y Pescados'!$A7*'Carnes y Pescados'!E7/100</f>
        <v>0</v>
      </c>
      <c r="F7" s="4">
        <f>'Carnes y Pescados'!$A7*'Carnes y Pescados'!F7/100</f>
        <v>0</v>
      </c>
      <c r="G7" s="4">
        <f>'Carnes y Pescados'!$A7*'Carnes y Pescados'!G7/100</f>
        <v>0</v>
      </c>
      <c r="H7" s="4">
        <f>'Carnes y Pescados'!$A7*'Carnes y Pescados'!H7/100</f>
        <v>0</v>
      </c>
      <c r="I7" s="4">
        <f>'Carnes y Pescados'!$A7*'Carnes y Pescados'!I7/100</f>
        <v>0</v>
      </c>
      <c r="J7" s="4">
        <f>'Carnes y Pescados'!$A7*'Carnes y Pescados'!J7/100</f>
        <v>0</v>
      </c>
      <c r="K7" s="4">
        <f>'Carnes y Pescados'!$A7*'Carnes y Pescados'!K7/100</f>
        <v>0</v>
      </c>
      <c r="L7" s="4">
        <f>'Carnes y Pescados'!$A7*'Carnes y Pescados'!L7/100</f>
        <v>0</v>
      </c>
      <c r="M7" s="4">
        <f>'Carnes y Pescados'!$A7*'Carnes y Pescados'!M7/100</f>
        <v>0</v>
      </c>
      <c r="N7" s="4">
        <f>'Carnes y Pescados'!$A7*'Carnes y Pescados'!N7/100</f>
        <v>0</v>
      </c>
      <c r="O7" s="4">
        <f>'Carnes y Pescados'!$A7*'Carnes y Pescados'!O7/100</f>
        <v>0</v>
      </c>
      <c r="P7" s="4">
        <f>'Carnes y Pescados'!$A7*'Carnes y Pescados'!P7/100</f>
        <v>0</v>
      </c>
      <c r="Q7" s="4">
        <f>'Carnes y Pescados'!$A7*'Carnes y Pescados'!Q7/100</f>
        <v>0</v>
      </c>
      <c r="R7" s="11">
        <f>'Carnes y Pescados'!$A7*'Carnes y Pescados'!R7/100</f>
        <v>0</v>
      </c>
      <c r="S7" s="11">
        <f>'Carnes y Pescados'!$A7*'Carnes y Pescados'!S7/100</f>
        <v>0</v>
      </c>
      <c r="T7" s="11">
        <f>'Carnes y Pescados'!$A7*'Carnes y Pescados'!T7/100</f>
        <v>0</v>
      </c>
      <c r="U7" s="11">
        <f>'Carnes y Pescados'!$A7*'Carnes y Pescados'!U7/100</f>
        <v>0</v>
      </c>
    </row>
    <row r="8" spans="1:21" x14ac:dyDescent="0.15">
      <c r="A8" s="10">
        <f>'Carnes y Pescados'!A8</f>
        <v>0</v>
      </c>
      <c r="B8" s="4" t="str">
        <f>'Carnes y Pescados'!B8</f>
        <v>Conejo</v>
      </c>
      <c r="C8" s="4">
        <f>'Carnes y Pescados'!$A8*'Carnes y Pescados'!C8/100</f>
        <v>0</v>
      </c>
      <c r="D8" s="4">
        <f>'Carnes y Pescados'!$A8*'Carnes y Pescados'!D8/100</f>
        <v>0</v>
      </c>
      <c r="E8" s="4">
        <f>'Carnes y Pescados'!$A8*'Carnes y Pescados'!E8/100</f>
        <v>0</v>
      </c>
      <c r="F8" s="4">
        <f>'Carnes y Pescados'!$A8*'Carnes y Pescados'!F8/100</f>
        <v>0</v>
      </c>
      <c r="G8" s="4">
        <f>'Carnes y Pescados'!$A8*'Carnes y Pescados'!G8/100</f>
        <v>0</v>
      </c>
      <c r="H8" s="4">
        <f>'Carnes y Pescados'!$A8*'Carnes y Pescados'!H8/100</f>
        <v>0</v>
      </c>
      <c r="I8" s="4">
        <f>'Carnes y Pescados'!$A8*'Carnes y Pescados'!I8/100</f>
        <v>0</v>
      </c>
      <c r="J8" s="4">
        <f>'Carnes y Pescados'!$A8*'Carnes y Pescados'!J8/100</f>
        <v>0</v>
      </c>
      <c r="K8" s="4">
        <f>'Carnes y Pescados'!$A8*'Carnes y Pescados'!K8/100</f>
        <v>0</v>
      </c>
      <c r="L8" s="4">
        <f>'Carnes y Pescados'!$A8*'Carnes y Pescados'!L8/100</f>
        <v>0</v>
      </c>
      <c r="M8" s="4">
        <f>'Carnes y Pescados'!$A8*'Carnes y Pescados'!M8/100</f>
        <v>0</v>
      </c>
      <c r="N8" s="4">
        <f>'Carnes y Pescados'!$A8*'Carnes y Pescados'!N8/100</f>
        <v>0</v>
      </c>
      <c r="O8" s="4">
        <f>'Carnes y Pescados'!$A8*'Carnes y Pescados'!O8/100</f>
        <v>0</v>
      </c>
      <c r="P8" s="4">
        <f>'Carnes y Pescados'!$A8*'Carnes y Pescados'!P8/100</f>
        <v>0</v>
      </c>
      <c r="Q8" s="4">
        <f>'Carnes y Pescados'!$A8*'Carnes y Pescados'!Q8/100</f>
        <v>0</v>
      </c>
      <c r="R8" s="11">
        <f>'Carnes y Pescados'!$A8*'Carnes y Pescados'!R8/100</f>
        <v>0</v>
      </c>
      <c r="S8" s="11">
        <f>'Carnes y Pescados'!$A8*'Carnes y Pescados'!S8/100</f>
        <v>0</v>
      </c>
      <c r="T8" s="11">
        <f>'Carnes y Pescados'!$A8*'Carnes y Pescados'!T8/100</f>
        <v>0</v>
      </c>
      <c r="U8" s="11">
        <f>'Carnes y Pescados'!$A8*'Carnes y Pescados'!U8/100</f>
        <v>0</v>
      </c>
    </row>
    <row r="9" spans="1:21" x14ac:dyDescent="0.15">
      <c r="A9" s="10">
        <f>'Carnes y Pescados'!A9</f>
        <v>150</v>
      </c>
      <c r="B9" s="4" t="str">
        <f>'Carnes y Pescados'!B9</f>
        <v>Pollo, Pechuga sin Piel</v>
      </c>
      <c r="C9" s="4">
        <f>'Carnes y Pescados'!$A9*'Carnes y Pescados'!C9/100</f>
        <v>111.9</v>
      </c>
      <c r="D9" s="4">
        <f>'Carnes y Pescados'!$A9*'Carnes y Pescados'!D9/100</f>
        <v>181.5</v>
      </c>
      <c r="E9" s="4">
        <f>'Carnes y Pescados'!$A9*'Carnes y Pescados'!E9/100</f>
        <v>30.75</v>
      </c>
      <c r="F9" s="4">
        <f>'Carnes y Pescados'!$A9*'Carnes y Pescados'!F9/100</f>
        <v>6.45</v>
      </c>
      <c r="G9" s="4">
        <f>'Carnes y Pescados'!$A9*'Carnes y Pescados'!G9/100</f>
        <v>0</v>
      </c>
      <c r="H9" s="4">
        <f>'Carnes y Pescados'!$A9*'Carnes y Pescados'!H9/100</f>
        <v>117</v>
      </c>
      <c r="I9" s="4">
        <f>'Carnes y Pescados'!$A9*'Carnes y Pescados'!I9/100</f>
        <v>450</v>
      </c>
      <c r="J9" s="4">
        <f>'Carnes y Pescados'!$A9*'Carnes y Pescados'!J9/100</f>
        <v>300</v>
      </c>
      <c r="K9" s="4">
        <f>'Carnes y Pescados'!$A9*'Carnes y Pescados'!K9/100</f>
        <v>18</v>
      </c>
      <c r="L9" s="4">
        <f>'Carnes y Pescados'!$A9*'Carnes y Pescados'!L9/100</f>
        <v>1.5</v>
      </c>
      <c r="M9" s="4">
        <f>'Carnes y Pescados'!$A9*'Carnes y Pescados'!M9/100</f>
        <v>6</v>
      </c>
      <c r="N9" s="4">
        <f>'Carnes y Pescados'!$A9*'Carnes y Pescados'!N9/100</f>
        <v>0.12</v>
      </c>
      <c r="O9" s="4">
        <f>'Carnes y Pescados'!$A9*'Carnes y Pescados'!O9/100</f>
        <v>0.25500000000000006</v>
      </c>
      <c r="P9" s="4">
        <f>'Carnes y Pescados'!$A9*'Carnes y Pescados'!P9/100</f>
        <v>12</v>
      </c>
      <c r="Q9" s="4">
        <f>'Carnes y Pescados'!$A9*'Carnes y Pescados'!Q9/100</f>
        <v>0</v>
      </c>
      <c r="R9" s="11">
        <f>'Carnes y Pescados'!$A9*'Carnes y Pescados'!R9/100</f>
        <v>0</v>
      </c>
      <c r="S9" s="11">
        <f>'Carnes y Pescados'!$A9*'Carnes y Pescados'!S9/100</f>
        <v>0.74849999999999994</v>
      </c>
      <c r="T9" s="11">
        <f>'Carnes y Pescados'!$A9*'Carnes y Pescados'!T9/100</f>
        <v>94.5</v>
      </c>
      <c r="U9" s="11">
        <f>'Carnes y Pescados'!$A9*'Carnes y Pescados'!U9/100</f>
        <v>34.5</v>
      </c>
    </row>
    <row r="10" spans="1:21" x14ac:dyDescent="0.15">
      <c r="A10" s="10">
        <f>'Carnes y Pescados'!A10</f>
        <v>0</v>
      </c>
      <c r="B10" s="4" t="str">
        <f>'Carnes y Pescados'!B10</f>
        <v>Pavo, Fiambre</v>
      </c>
      <c r="C10" s="4">
        <f>'Carnes y Pescados'!$A10*'Carnes y Pescados'!C10/100</f>
        <v>0</v>
      </c>
      <c r="D10" s="4">
        <f>'Carnes y Pescados'!$A10*'Carnes y Pescados'!D10/100</f>
        <v>0</v>
      </c>
      <c r="E10" s="4">
        <f>'Carnes y Pescados'!$A10*'Carnes y Pescados'!E10/100</f>
        <v>0</v>
      </c>
      <c r="F10" s="4">
        <f>'Carnes y Pescados'!$A10*'Carnes y Pescados'!F10/100</f>
        <v>0</v>
      </c>
      <c r="G10" s="4">
        <f>'Carnes y Pescados'!$A10*'Carnes y Pescados'!G10/100</f>
        <v>0</v>
      </c>
      <c r="H10" s="4">
        <f>'Carnes y Pescados'!$A10*'Carnes y Pescados'!H10/100</f>
        <v>0</v>
      </c>
      <c r="I10" s="4">
        <f>'Carnes y Pescados'!$A10*'Carnes y Pescados'!I10/100</f>
        <v>0</v>
      </c>
      <c r="J10" s="4">
        <f>'Carnes y Pescados'!$A10*'Carnes y Pescados'!J10/100</f>
        <v>0</v>
      </c>
      <c r="K10" s="4">
        <f>'Carnes y Pescados'!$A10*'Carnes y Pescados'!K10/100</f>
        <v>0</v>
      </c>
      <c r="L10" s="4">
        <f>'Carnes y Pescados'!$A10*'Carnes y Pescados'!L10/100</f>
        <v>0</v>
      </c>
      <c r="M10" s="4">
        <f>'Carnes y Pescados'!$A10*'Carnes y Pescados'!M10/100</f>
        <v>0</v>
      </c>
      <c r="N10" s="4">
        <f>'Carnes y Pescados'!$A10*'Carnes y Pescados'!N10/100</f>
        <v>0</v>
      </c>
      <c r="O10" s="4">
        <f>'Carnes y Pescados'!$A10*'Carnes y Pescados'!O10/100</f>
        <v>0</v>
      </c>
      <c r="P10" s="4">
        <f>'Carnes y Pescados'!$A10*'Carnes y Pescados'!P10/100</f>
        <v>0</v>
      </c>
      <c r="Q10" s="4">
        <f>'Carnes y Pescados'!$A10*'Carnes y Pescados'!Q10/100</f>
        <v>0</v>
      </c>
      <c r="R10" s="11">
        <f>'Carnes y Pescados'!$A10*'Carnes y Pescados'!R10/100</f>
        <v>0</v>
      </c>
      <c r="S10" s="11">
        <f>'Carnes y Pescados'!$A10*'Carnes y Pescados'!S10/100</f>
        <v>0</v>
      </c>
      <c r="T10" s="11">
        <f>'Carnes y Pescados'!$A10*'Carnes y Pescados'!T10/100</f>
        <v>0</v>
      </c>
      <c r="U10" s="11">
        <f>'Carnes y Pescados'!$A10*'Carnes y Pescados'!U10/100</f>
        <v>0</v>
      </c>
    </row>
    <row r="11" spans="1:21" x14ac:dyDescent="0.15">
      <c r="A11" s="10">
        <f>'Carnes y Pescados'!A11</f>
        <v>0</v>
      </c>
      <c r="B11" s="4" t="str">
        <f>'Carnes y Pescados'!B11</f>
        <v>Ternera (Higado)</v>
      </c>
      <c r="C11" s="4">
        <f>'Carnes y Pescados'!$A11*'Carnes y Pescados'!C11/100</f>
        <v>0</v>
      </c>
      <c r="D11" s="4">
        <f>'Carnes y Pescados'!$A11*'Carnes y Pescados'!D11/100</f>
        <v>0</v>
      </c>
      <c r="E11" s="4">
        <f>'Carnes y Pescados'!$A11*'Carnes y Pescados'!E11/100</f>
        <v>0</v>
      </c>
      <c r="F11" s="4">
        <f>'Carnes y Pescados'!$A11*'Carnes y Pescados'!F11/100</f>
        <v>0</v>
      </c>
      <c r="G11" s="4">
        <f>'Carnes y Pescados'!$A11*'Carnes y Pescados'!G11/100</f>
        <v>0</v>
      </c>
      <c r="H11" s="4">
        <f>'Carnes y Pescados'!$A11*'Carnes y Pescados'!H11/100</f>
        <v>0</v>
      </c>
      <c r="I11" s="4">
        <f>'Carnes y Pescados'!$A11*'Carnes y Pescados'!I11/100</f>
        <v>0</v>
      </c>
      <c r="J11" s="4">
        <f>'Carnes y Pescados'!$A11*'Carnes y Pescados'!J11/100</f>
        <v>0</v>
      </c>
      <c r="K11" s="4">
        <f>'Carnes y Pescados'!$A11*'Carnes y Pescados'!K11/100</f>
        <v>0</v>
      </c>
      <c r="L11" s="4">
        <f>'Carnes y Pescados'!$A11*'Carnes y Pescados'!L11/100</f>
        <v>0</v>
      </c>
      <c r="M11" s="4">
        <f>'Carnes y Pescados'!$A11*'Carnes y Pescados'!M11/100</f>
        <v>0</v>
      </c>
      <c r="N11" s="4">
        <f>'Carnes y Pescados'!$A11*'Carnes y Pescados'!N11/100</f>
        <v>0</v>
      </c>
      <c r="O11" s="4">
        <f>'Carnes y Pescados'!$A11*'Carnes y Pescados'!O11/100</f>
        <v>0</v>
      </c>
      <c r="P11" s="4">
        <f>'Carnes y Pescados'!$A11*'Carnes y Pescados'!P11/100</f>
        <v>0</v>
      </c>
      <c r="Q11" s="4">
        <f>'Carnes y Pescados'!$A11*'Carnes y Pescados'!Q11/100</f>
        <v>0</v>
      </c>
      <c r="R11" s="11">
        <f>'Carnes y Pescados'!$A11*'Carnes y Pescados'!R11/100</f>
        <v>0</v>
      </c>
      <c r="S11" s="11">
        <f>'Carnes y Pescados'!$A11*'Carnes y Pescados'!S11/100</f>
        <v>0</v>
      </c>
      <c r="T11" s="11">
        <f>'Carnes y Pescados'!$A11*'Carnes y Pescados'!T11/100</f>
        <v>0</v>
      </c>
      <c r="U11" s="11">
        <f>'Carnes y Pescados'!$A11*'Carnes y Pescados'!U11/100</f>
        <v>0</v>
      </c>
    </row>
    <row r="12" spans="1:21" x14ac:dyDescent="0.15">
      <c r="A12" s="10">
        <f>'Carnes y Pescados'!A12</f>
        <v>0</v>
      </c>
      <c r="B12" s="4" t="str">
        <f>'Carnes y Pescados'!B12</f>
        <v>Jamón Cocido</v>
      </c>
      <c r="C12" s="4">
        <f>'Carnes y Pescados'!$A12*'Carnes y Pescados'!C12/100</f>
        <v>0</v>
      </c>
      <c r="D12" s="4">
        <f>'Carnes y Pescados'!$A12*'Carnes y Pescados'!D12/100</f>
        <v>0</v>
      </c>
      <c r="E12" s="4">
        <f>'Carnes y Pescados'!$A12*'Carnes y Pescados'!E12/100</f>
        <v>0</v>
      </c>
      <c r="F12" s="4">
        <f>'Carnes y Pescados'!$A12*'Carnes y Pescados'!F12/100</f>
        <v>0</v>
      </c>
      <c r="G12" s="4">
        <f>'Carnes y Pescados'!$A12*'Carnes y Pescados'!G12/100</f>
        <v>0</v>
      </c>
      <c r="H12" s="4">
        <f>'Carnes y Pescados'!$A12*'Carnes y Pescados'!H12/100</f>
        <v>0</v>
      </c>
      <c r="I12" s="4">
        <f>'Carnes y Pescados'!$A12*'Carnes y Pescados'!I12/100</f>
        <v>0</v>
      </c>
      <c r="J12" s="4">
        <f>'Carnes y Pescados'!$A12*'Carnes y Pescados'!J12/100</f>
        <v>0</v>
      </c>
      <c r="K12" s="4">
        <f>'Carnes y Pescados'!$A12*'Carnes y Pescados'!K12/100</f>
        <v>0</v>
      </c>
      <c r="L12" s="4">
        <f>'Carnes y Pescados'!$A12*'Carnes y Pescados'!L12/100</f>
        <v>0</v>
      </c>
      <c r="M12" s="4">
        <f>'Carnes y Pescados'!$A12*'Carnes y Pescados'!M12/100</f>
        <v>0</v>
      </c>
      <c r="N12" s="4">
        <f>'Carnes y Pescados'!$A12*'Carnes y Pescados'!N12/100</f>
        <v>0</v>
      </c>
      <c r="O12" s="4">
        <f>'Carnes y Pescados'!$A12*'Carnes y Pescados'!O12/100</f>
        <v>0</v>
      </c>
      <c r="P12" s="4">
        <f>'Carnes y Pescados'!$A12*'Carnes y Pescados'!P12/100</f>
        <v>0</v>
      </c>
      <c r="Q12" s="4">
        <f>'Carnes y Pescados'!$A12*'Carnes y Pescados'!Q12/100</f>
        <v>0</v>
      </c>
      <c r="R12" s="11">
        <f>'Carnes y Pescados'!$A12*'Carnes y Pescados'!R12/100</f>
        <v>0</v>
      </c>
      <c r="S12" s="11">
        <f>'Carnes y Pescados'!$A12*'Carnes y Pescados'!S12/100</f>
        <v>0</v>
      </c>
      <c r="T12" s="11">
        <f>'Carnes y Pescados'!$A12*'Carnes y Pescados'!T12/100</f>
        <v>0</v>
      </c>
      <c r="U12" s="11">
        <f>'Carnes y Pescados'!$A12*'Carnes y Pescados'!U12/100</f>
        <v>0</v>
      </c>
    </row>
    <row r="13" spans="1:21" x14ac:dyDescent="0.15">
      <c r="A13" s="10">
        <f>'Carnes y Pescados'!A13</f>
        <v>0</v>
      </c>
      <c r="B13" s="4" t="str">
        <f>'Carnes y Pescados'!B13</f>
        <v>Jamón Curado</v>
      </c>
      <c r="C13" s="4">
        <f>'Carnes y Pescados'!$A13*'Carnes y Pescados'!C13/100</f>
        <v>0</v>
      </c>
      <c r="D13" s="4">
        <f>'Carnes y Pescados'!$A13*'Carnes y Pescados'!D13/100</f>
        <v>0</v>
      </c>
      <c r="E13" s="4">
        <f>'Carnes y Pescados'!$A13*'Carnes y Pescados'!E13/100</f>
        <v>0</v>
      </c>
      <c r="F13" s="4">
        <f>'Carnes y Pescados'!$A13*'Carnes y Pescados'!F13/100</f>
        <v>0</v>
      </c>
      <c r="G13" s="4">
        <f>'Carnes y Pescados'!$A13*'Carnes y Pescados'!G13/100</f>
        <v>0</v>
      </c>
      <c r="H13" s="4">
        <f>'Carnes y Pescados'!$A13*'Carnes y Pescados'!H13/100</f>
        <v>0</v>
      </c>
      <c r="I13" s="4">
        <f>'Carnes y Pescados'!$A13*'Carnes y Pescados'!I13/100</f>
        <v>0</v>
      </c>
      <c r="J13" s="4">
        <f>'Carnes y Pescados'!$A13*'Carnes y Pescados'!J13/100</f>
        <v>0</v>
      </c>
      <c r="K13" s="4">
        <f>'Carnes y Pescados'!$A13*'Carnes y Pescados'!K13/100</f>
        <v>0</v>
      </c>
      <c r="L13" s="4">
        <f>'Carnes y Pescados'!$A13*'Carnes y Pescados'!L13/100</f>
        <v>0</v>
      </c>
      <c r="M13" s="4">
        <f>'Carnes y Pescados'!$A13*'Carnes y Pescados'!M13/100</f>
        <v>0</v>
      </c>
      <c r="N13" s="4">
        <f>'Carnes y Pescados'!$A13*'Carnes y Pescados'!N13/100</f>
        <v>0</v>
      </c>
      <c r="O13" s="4">
        <f>'Carnes y Pescados'!$A13*'Carnes y Pescados'!O13/100</f>
        <v>0</v>
      </c>
      <c r="P13" s="4">
        <f>'Carnes y Pescados'!$A13*'Carnes y Pescados'!P13/100</f>
        <v>0</v>
      </c>
      <c r="Q13" s="4">
        <f>'Carnes y Pescados'!$A13*'Carnes y Pescados'!Q13/100</f>
        <v>0</v>
      </c>
      <c r="R13" s="11">
        <f>'Carnes y Pescados'!$A13*'Carnes y Pescados'!R13/100</f>
        <v>0</v>
      </c>
      <c r="S13" s="11">
        <f>'Carnes y Pescados'!$A13*'Carnes y Pescados'!S13/100</f>
        <v>0</v>
      </c>
      <c r="T13" s="11">
        <f>'Carnes y Pescados'!$A13*'Carnes y Pescados'!T13/100</f>
        <v>0</v>
      </c>
      <c r="U13" s="11">
        <f>'Carnes y Pescados'!$A13*'Carnes y Pescados'!U13/100</f>
        <v>0</v>
      </c>
    </row>
    <row r="14" spans="1:21" x14ac:dyDescent="0.15">
      <c r="A14" s="10">
        <f>'Carnes y Pescados'!A14</f>
        <v>0</v>
      </c>
      <c r="B14" s="4" t="str">
        <f>'Carnes y Pescados'!B14</f>
        <v>Embutidos Curados (Chorizo, Salchichón)</v>
      </c>
      <c r="C14" s="4">
        <f>'Carnes y Pescados'!$A14*'Carnes y Pescados'!C14/100</f>
        <v>0</v>
      </c>
      <c r="D14" s="4">
        <f>'Carnes y Pescados'!$A14*'Carnes y Pescados'!D14/100</f>
        <v>0</v>
      </c>
      <c r="E14" s="4">
        <f>'Carnes y Pescados'!$A14*'Carnes y Pescados'!E14/100</f>
        <v>0</v>
      </c>
      <c r="F14" s="4">
        <f>'Carnes y Pescados'!$A14*'Carnes y Pescados'!F14/100</f>
        <v>0</v>
      </c>
      <c r="G14" s="4">
        <f>'Carnes y Pescados'!$A14*'Carnes y Pescados'!G14/100</f>
        <v>0</v>
      </c>
      <c r="H14" s="4">
        <f>'Carnes y Pescados'!$A14*'Carnes y Pescados'!H14/100</f>
        <v>0</v>
      </c>
      <c r="I14" s="4">
        <f>'Carnes y Pescados'!$A14*'Carnes y Pescados'!I14/100</f>
        <v>0</v>
      </c>
      <c r="J14" s="4">
        <f>'Carnes y Pescados'!$A14*'Carnes y Pescados'!J14/100</f>
        <v>0</v>
      </c>
      <c r="K14" s="4">
        <f>'Carnes y Pescados'!$A14*'Carnes y Pescados'!K14/100</f>
        <v>0</v>
      </c>
      <c r="L14" s="4">
        <f>'Carnes y Pescados'!$A14*'Carnes y Pescados'!L14/100</f>
        <v>0</v>
      </c>
      <c r="M14" s="4">
        <f>'Carnes y Pescados'!$A14*'Carnes y Pescados'!M14/100</f>
        <v>0</v>
      </c>
      <c r="N14" s="4">
        <f>'Carnes y Pescados'!$A14*'Carnes y Pescados'!N14/100</f>
        <v>0</v>
      </c>
      <c r="O14" s="4">
        <f>'Carnes y Pescados'!$A14*'Carnes y Pescados'!O14/100</f>
        <v>0</v>
      </c>
      <c r="P14" s="4">
        <f>'Carnes y Pescados'!$A14*'Carnes y Pescados'!P14/100</f>
        <v>0</v>
      </c>
      <c r="Q14" s="4">
        <f>'Carnes y Pescados'!$A14*'Carnes y Pescados'!Q14/100</f>
        <v>0</v>
      </c>
      <c r="R14" s="11">
        <f>'Carnes y Pescados'!$A14*'Carnes y Pescados'!R14/100</f>
        <v>0</v>
      </c>
      <c r="S14" s="11">
        <f>'Carnes y Pescados'!$A14*'Carnes y Pescados'!S14/100</f>
        <v>0</v>
      </c>
      <c r="T14" s="11">
        <f>'Carnes y Pescados'!$A14*'Carnes y Pescados'!T14/100</f>
        <v>0</v>
      </c>
      <c r="U14" s="11">
        <f>'Carnes y Pescados'!$A14*'Carnes y Pescados'!U14/100</f>
        <v>0</v>
      </c>
    </row>
    <row r="15" spans="1:21" x14ac:dyDescent="0.15">
      <c r="A15" s="10">
        <f>'Carnes y Pescados'!A15</f>
        <v>0</v>
      </c>
      <c r="B15" s="4" t="str">
        <f>'Carnes y Pescados'!B15</f>
        <v>Embutidos Cocidos (Butifarra, Salchichas)</v>
      </c>
      <c r="C15" s="4">
        <f>'Carnes y Pescados'!$A15*'Carnes y Pescados'!C15/100</f>
        <v>0</v>
      </c>
      <c r="D15" s="4">
        <f>'Carnes y Pescados'!$A15*'Carnes y Pescados'!D15/100</f>
        <v>0</v>
      </c>
      <c r="E15" s="4">
        <f>'Carnes y Pescados'!$A15*'Carnes y Pescados'!E15/100</f>
        <v>0</v>
      </c>
      <c r="F15" s="4">
        <f>'Carnes y Pescados'!$A15*'Carnes y Pescados'!F15/100</f>
        <v>0</v>
      </c>
      <c r="G15" s="4">
        <f>'Carnes y Pescados'!$A15*'Carnes y Pescados'!G15/100</f>
        <v>0</v>
      </c>
      <c r="H15" s="4">
        <f>'Carnes y Pescados'!$A15*'Carnes y Pescados'!H15/100</f>
        <v>0</v>
      </c>
      <c r="I15" s="4">
        <f>'Carnes y Pescados'!$A15*'Carnes y Pescados'!I15/100</f>
        <v>0</v>
      </c>
      <c r="J15" s="4">
        <f>'Carnes y Pescados'!$A15*'Carnes y Pescados'!J15/100</f>
        <v>0</v>
      </c>
      <c r="K15" s="4">
        <f>'Carnes y Pescados'!$A15*'Carnes y Pescados'!K15/100</f>
        <v>0</v>
      </c>
      <c r="L15" s="4">
        <f>'Carnes y Pescados'!$A15*'Carnes y Pescados'!L15/100</f>
        <v>0</v>
      </c>
      <c r="M15" s="4">
        <f>'Carnes y Pescados'!$A15*'Carnes y Pescados'!M15/100</f>
        <v>0</v>
      </c>
      <c r="N15" s="4">
        <f>'Carnes y Pescados'!$A15*'Carnes y Pescados'!N15/100</f>
        <v>0</v>
      </c>
      <c r="O15" s="4">
        <f>'Carnes y Pescados'!$A15*'Carnes y Pescados'!O15/100</f>
        <v>0</v>
      </c>
      <c r="P15" s="4">
        <f>'Carnes y Pescados'!$A15*'Carnes y Pescados'!P15/100</f>
        <v>0</v>
      </c>
      <c r="Q15" s="4">
        <f>'Carnes y Pescados'!$A15*'Carnes y Pescados'!Q15/100</f>
        <v>0</v>
      </c>
      <c r="R15" s="11">
        <f>'Carnes y Pescados'!$A15*'Carnes y Pescados'!R15/100</f>
        <v>0</v>
      </c>
      <c r="S15" s="11">
        <f>'Carnes y Pescados'!$A15*'Carnes y Pescados'!S15/100</f>
        <v>0</v>
      </c>
      <c r="T15" s="11">
        <f>'Carnes y Pescados'!$A15*'Carnes y Pescados'!T15/100</f>
        <v>0</v>
      </c>
      <c r="U15" s="11">
        <f>'Carnes y Pescados'!$A15*'Carnes y Pescados'!U15/100</f>
        <v>0</v>
      </c>
    </row>
    <row r="16" spans="1:21" x14ac:dyDescent="0.15">
      <c r="A16" s="10">
        <f>'Carnes y Pescados'!A16</f>
        <v>0</v>
      </c>
      <c r="B16" s="4" t="str">
        <f>'Carnes y Pescados'!B16</f>
        <v>Pavo, Pechuga sin Piel</v>
      </c>
      <c r="C16" s="4">
        <f>'Carnes y Pescados'!$A16*'Carnes y Pescados'!C16/100</f>
        <v>0</v>
      </c>
      <c r="D16" s="4">
        <f>'Carnes y Pescados'!$A16*'Carnes y Pescados'!D16/100</f>
        <v>0</v>
      </c>
      <c r="E16" s="4">
        <f>'Carnes y Pescados'!$A16*'Carnes y Pescados'!E16/100</f>
        <v>0</v>
      </c>
      <c r="F16" s="4">
        <f>'Carnes y Pescados'!$A16*'Carnes y Pescados'!F16/100</f>
        <v>0</v>
      </c>
      <c r="G16" s="4">
        <f>'Carnes y Pescados'!$A16*'Carnes y Pescados'!G16/100</f>
        <v>0</v>
      </c>
      <c r="H16" s="4">
        <f>'Carnes y Pescados'!$A16*'Carnes y Pescados'!H16/100</f>
        <v>0</v>
      </c>
      <c r="I16" s="4">
        <f>'Carnes y Pescados'!$A16*'Carnes y Pescados'!I16/100</f>
        <v>0</v>
      </c>
      <c r="J16" s="4">
        <f>'Carnes y Pescados'!$A16*'Carnes y Pescados'!J16/100</f>
        <v>0</v>
      </c>
      <c r="K16" s="4">
        <f>'Carnes y Pescados'!$A16*'Carnes y Pescados'!K16/100</f>
        <v>0</v>
      </c>
      <c r="L16" s="4">
        <f>'Carnes y Pescados'!$A16*'Carnes y Pescados'!L16/100</f>
        <v>0</v>
      </c>
      <c r="M16" s="4">
        <f>'Carnes y Pescados'!$A16*'Carnes y Pescados'!M16/100</f>
        <v>0</v>
      </c>
      <c r="N16" s="4">
        <f>'Carnes y Pescados'!$A16*'Carnes y Pescados'!N16/100</f>
        <v>0</v>
      </c>
      <c r="O16" s="4">
        <f>'Carnes y Pescados'!$A16*'Carnes y Pescados'!O16/100</f>
        <v>0</v>
      </c>
      <c r="P16" s="4">
        <f>'Carnes y Pescados'!$A16*'Carnes y Pescados'!P16/100</f>
        <v>0</v>
      </c>
      <c r="Q16" s="4">
        <f>'Carnes y Pescados'!$A16*'Carnes y Pescados'!Q16/100</f>
        <v>0</v>
      </c>
      <c r="R16" s="11">
        <f>'Carnes y Pescados'!$A16*'Carnes y Pescados'!R16/100</f>
        <v>0</v>
      </c>
      <c r="S16" s="11">
        <f>'Carnes y Pescados'!$A16*'Carnes y Pescados'!S16/100</f>
        <v>0</v>
      </c>
      <c r="T16" s="11">
        <f>'Carnes y Pescados'!$A16*'Carnes y Pescados'!T16/100</f>
        <v>0</v>
      </c>
      <c r="U16" s="11">
        <f>'Carnes y Pescados'!$A16*'Carnes y Pescados'!U16/100</f>
        <v>0</v>
      </c>
    </row>
    <row r="17" spans="1:21" x14ac:dyDescent="0.15">
      <c r="A17" s="10">
        <f>'Carnes y Pescados'!A17</f>
        <v>0</v>
      </c>
      <c r="B17" s="4" t="str">
        <f>'Carnes y Pescados'!B17</f>
        <v>Hamburguesa de Ternera</v>
      </c>
      <c r="C17" s="4">
        <f>'Carnes y Pescados'!$A17*'Carnes y Pescados'!C17/100</f>
        <v>0</v>
      </c>
      <c r="D17" s="4">
        <f>'Carnes y Pescados'!$A17*'Carnes y Pescados'!D17/100</f>
        <v>0</v>
      </c>
      <c r="E17" s="4">
        <f>'Carnes y Pescados'!$A17*'Carnes y Pescados'!E17/100</f>
        <v>0</v>
      </c>
      <c r="F17" s="4">
        <f>'Carnes y Pescados'!$A17*'Carnes y Pescados'!F17/100</f>
        <v>0</v>
      </c>
      <c r="G17" s="4">
        <f>'Carnes y Pescados'!$A17*'Carnes y Pescados'!G17/100</f>
        <v>0</v>
      </c>
      <c r="H17" s="4">
        <f>'Carnes y Pescados'!$A17*'Carnes y Pescados'!H17/100</f>
        <v>0</v>
      </c>
      <c r="I17" s="4">
        <f>'Carnes y Pescados'!$A17*'Carnes y Pescados'!I17/100</f>
        <v>0</v>
      </c>
      <c r="J17" s="4">
        <f>'Carnes y Pescados'!$A17*'Carnes y Pescados'!J17/100</f>
        <v>0</v>
      </c>
      <c r="K17" s="4">
        <f>'Carnes y Pescados'!$A17*'Carnes y Pescados'!K17/100</f>
        <v>0</v>
      </c>
      <c r="L17" s="4">
        <f>'Carnes y Pescados'!$A17*'Carnes y Pescados'!L17/100</f>
        <v>0</v>
      </c>
      <c r="M17" s="4">
        <f>'Carnes y Pescados'!$A17*'Carnes y Pescados'!M17/100</f>
        <v>0</v>
      </c>
      <c r="N17" s="4">
        <f>'Carnes y Pescados'!$A17*'Carnes y Pescados'!N17/100</f>
        <v>0</v>
      </c>
      <c r="O17" s="4">
        <f>'Carnes y Pescados'!$A17*'Carnes y Pescados'!O17/100</f>
        <v>0</v>
      </c>
      <c r="P17" s="4">
        <f>'Carnes y Pescados'!$A17*'Carnes y Pescados'!P17/100</f>
        <v>0</v>
      </c>
      <c r="Q17" s="4">
        <f>'Carnes y Pescados'!$A17*'Carnes y Pescados'!Q17/100</f>
        <v>0</v>
      </c>
      <c r="R17" s="11">
        <f>'Carnes y Pescados'!$A17*'Carnes y Pescados'!R17/100</f>
        <v>0</v>
      </c>
      <c r="S17" s="11">
        <f>'Carnes y Pescados'!$A17*'Carnes y Pescados'!S17/100</f>
        <v>0</v>
      </c>
      <c r="T17" s="11">
        <f>'Carnes y Pescados'!$A17*'Carnes y Pescados'!T17/100</f>
        <v>0</v>
      </c>
      <c r="U17" s="11">
        <f>'Carnes y Pescados'!$A17*'Carnes y Pescados'!U17/100</f>
        <v>0</v>
      </c>
    </row>
    <row r="18" spans="1:21" x14ac:dyDescent="0.15">
      <c r="A18" s="10">
        <f>'Carnes y Pescados'!A18</f>
        <v>0</v>
      </c>
      <c r="B18" s="4" t="str">
        <f>'Carnes y Pescados'!B18</f>
        <v>Hamburguesa de Pollo</v>
      </c>
      <c r="C18" s="4">
        <f>'Carnes y Pescados'!$A18*'Carnes y Pescados'!C18/100</f>
        <v>0</v>
      </c>
      <c r="D18" s="4">
        <f>'Carnes y Pescados'!$A18*'Carnes y Pescados'!D18/100</f>
        <v>0</v>
      </c>
      <c r="E18" s="4">
        <f>'Carnes y Pescados'!$A18*'Carnes y Pescados'!E18/100</f>
        <v>0</v>
      </c>
      <c r="F18" s="4">
        <f>'Carnes y Pescados'!$A18*'Carnes y Pescados'!F18/100</f>
        <v>0</v>
      </c>
      <c r="G18" s="4">
        <f>'Carnes y Pescados'!$A18*'Carnes y Pescados'!G18/100</f>
        <v>0</v>
      </c>
      <c r="H18" s="4">
        <f>'Carnes y Pescados'!$A18*'Carnes y Pescados'!H18/100</f>
        <v>0</v>
      </c>
      <c r="I18" s="4">
        <f>'Carnes y Pescados'!$A18*'Carnes y Pescados'!I18/100</f>
        <v>0</v>
      </c>
      <c r="J18" s="4">
        <f>'Carnes y Pescados'!$A18*'Carnes y Pescados'!J18/100</f>
        <v>0</v>
      </c>
      <c r="K18" s="4">
        <f>'Carnes y Pescados'!$A18*'Carnes y Pescados'!K18/100</f>
        <v>0</v>
      </c>
      <c r="L18" s="4">
        <f>'Carnes y Pescados'!$A18*'Carnes y Pescados'!L18/100</f>
        <v>0</v>
      </c>
      <c r="M18" s="4">
        <f>'Carnes y Pescados'!$A18*'Carnes y Pescados'!M18/100</f>
        <v>0</v>
      </c>
      <c r="N18" s="4">
        <f>'Carnes y Pescados'!$A18*'Carnes y Pescados'!N18/100</f>
        <v>0</v>
      </c>
      <c r="O18" s="4">
        <f>'Carnes y Pescados'!$A18*'Carnes y Pescados'!O18/100</f>
        <v>0</v>
      </c>
      <c r="P18" s="4">
        <f>'Carnes y Pescados'!$A18*'Carnes y Pescados'!P18/100</f>
        <v>0</v>
      </c>
      <c r="Q18" s="4">
        <f>'Carnes y Pescados'!$A18*'Carnes y Pescados'!Q18/100</f>
        <v>0</v>
      </c>
      <c r="R18" s="11">
        <f>'Carnes y Pescados'!$A18*'Carnes y Pescados'!R18/100</f>
        <v>0</v>
      </c>
      <c r="S18" s="11">
        <f>'Carnes y Pescados'!$A18*'Carnes y Pescados'!S18/100</f>
        <v>0</v>
      </c>
      <c r="T18" s="11">
        <f>'Carnes y Pescados'!$A18*'Carnes y Pescados'!T18/100</f>
        <v>0</v>
      </c>
      <c r="U18" s="11">
        <f>'Carnes y Pescados'!$A18*'Carnes y Pescados'!U18/100</f>
        <v>0</v>
      </c>
    </row>
    <row r="19" spans="1:21" x14ac:dyDescent="0.15">
      <c r="A19" s="10"/>
      <c r="B19" s="4"/>
      <c r="C19" s="4">
        <f>'Carnes y Pescados'!$A19*'Carnes y Pescados'!C19/100</f>
        <v>0</v>
      </c>
      <c r="D19" s="4">
        <f>'Carnes y Pescados'!$A19*'Carnes y Pescados'!D19/100</f>
        <v>0</v>
      </c>
      <c r="E19" s="4">
        <f>'Carnes y Pescados'!$A19*'Carnes y Pescados'!E19/100</f>
        <v>0</v>
      </c>
      <c r="F19" s="4">
        <f>'Carnes y Pescados'!$A19*'Carnes y Pescados'!F19/100</f>
        <v>0</v>
      </c>
      <c r="G19" s="4">
        <f>'Carnes y Pescados'!$A19*'Carnes y Pescados'!G19/100</f>
        <v>0</v>
      </c>
      <c r="H19" s="4">
        <f>'Carnes y Pescados'!$A19*'Carnes y Pescados'!H19/100</f>
        <v>0</v>
      </c>
      <c r="I19" s="4">
        <f>'Carnes y Pescados'!$A19*'Carnes y Pescados'!I19/100</f>
        <v>0</v>
      </c>
      <c r="J19" s="4">
        <f>'Carnes y Pescados'!$A19*'Carnes y Pescados'!J19/100</f>
        <v>0</v>
      </c>
      <c r="K19" s="4">
        <f>'Carnes y Pescados'!$A19*'Carnes y Pescados'!K19/100</f>
        <v>0</v>
      </c>
      <c r="L19" s="4">
        <f>'Carnes y Pescados'!$A19*'Carnes y Pescados'!L19/100</f>
        <v>0</v>
      </c>
      <c r="M19" s="4">
        <f>'Carnes y Pescados'!$A19*'Carnes y Pescados'!M19/100</f>
        <v>0</v>
      </c>
      <c r="N19" s="4">
        <f>'Carnes y Pescados'!$A19*'Carnes y Pescados'!N19/100</f>
        <v>0</v>
      </c>
      <c r="O19" s="4">
        <f>'Carnes y Pescados'!$A19*'Carnes y Pescados'!O19/100</f>
        <v>0</v>
      </c>
      <c r="P19" s="4">
        <f>'Carnes y Pescados'!$A19*'Carnes y Pescados'!P19/100</f>
        <v>0</v>
      </c>
      <c r="Q19" s="4">
        <f>'Carnes y Pescados'!$A19*'Carnes y Pescados'!Q19/100</f>
        <v>0</v>
      </c>
      <c r="R19" s="11">
        <f>'Carnes y Pescados'!$A19*'Carnes y Pescados'!R19/100</f>
        <v>0</v>
      </c>
      <c r="S19" s="11">
        <f>'Carnes y Pescados'!$A19*'Carnes y Pescados'!S19/100</f>
        <v>0</v>
      </c>
      <c r="T19" s="11">
        <f>'Carnes y Pescados'!$A19*'Carnes y Pescados'!T19/100</f>
        <v>0</v>
      </c>
      <c r="U19" s="11">
        <f>'Carnes y Pescados'!$A19*'Carnes y Pescados'!U19/100</f>
        <v>0</v>
      </c>
    </row>
    <row r="20" spans="1:21" x14ac:dyDescent="0.15">
      <c r="A20" s="10"/>
      <c r="B20" s="4"/>
      <c r="C20" s="4"/>
      <c r="D20" s="4"/>
      <c r="E20" s="4"/>
      <c r="F20" s="4"/>
      <c r="G20" s="4"/>
      <c r="H20" s="4"/>
      <c r="I20" s="4"/>
      <c r="J20" s="4"/>
      <c r="K20" s="4"/>
      <c r="L20" s="4"/>
      <c r="M20" s="4"/>
      <c r="N20" s="4"/>
      <c r="O20" s="4"/>
      <c r="P20" s="4"/>
      <c r="Q20" s="4"/>
      <c r="R20" s="11"/>
      <c r="S20" s="11"/>
      <c r="T20" s="11"/>
      <c r="U20" s="11"/>
    </row>
    <row r="21" spans="1:21" x14ac:dyDescent="0.15">
      <c r="A21" s="10"/>
      <c r="B21" s="4"/>
      <c r="C21" s="4"/>
      <c r="D21" s="4"/>
      <c r="E21" s="4"/>
      <c r="F21" s="4"/>
      <c r="G21" s="4"/>
      <c r="H21" s="4"/>
      <c r="I21" s="4"/>
      <c r="J21" s="4"/>
      <c r="K21" s="4"/>
      <c r="L21" s="4"/>
      <c r="M21" s="4"/>
      <c r="N21" s="4"/>
      <c r="O21" s="4"/>
      <c r="P21" s="4"/>
      <c r="Q21" s="4"/>
      <c r="R21" s="11"/>
      <c r="S21" s="11"/>
      <c r="T21" s="11"/>
      <c r="U21" s="11"/>
    </row>
    <row r="22" spans="1:21" x14ac:dyDescent="0.15">
      <c r="A22" s="10"/>
      <c r="B22" s="4"/>
      <c r="C22" s="4"/>
      <c r="D22" s="4"/>
      <c r="E22" s="4"/>
      <c r="F22" s="4"/>
      <c r="G22" s="4"/>
      <c r="H22" s="4"/>
      <c r="I22" s="4"/>
      <c r="J22" s="4"/>
      <c r="K22" s="4"/>
      <c r="L22" s="4"/>
      <c r="M22" s="4"/>
      <c r="N22" s="4"/>
      <c r="O22" s="4"/>
      <c r="P22" s="4"/>
      <c r="Q22" s="4"/>
      <c r="R22" s="11"/>
      <c r="S22" s="11"/>
      <c r="T22" s="11"/>
      <c r="U22" s="11"/>
    </row>
    <row r="23" spans="1:21" x14ac:dyDescent="0.15">
      <c r="A23" s="10">
        <f>'Carnes y Pescados'!A23</f>
        <v>0</v>
      </c>
      <c r="B23" s="4" t="str">
        <f>'Carnes y Pescados'!B23</f>
        <v>Pescado Blanco (Merluza, Mero, Lenguado)</v>
      </c>
      <c r="C23" s="4">
        <f>'Carnes y Pescados'!$A23*'Carnes y Pescados'!C23/100</f>
        <v>0</v>
      </c>
      <c r="D23" s="4">
        <f>'Carnes y Pescados'!$A23*'Carnes y Pescados'!D23/100</f>
        <v>0</v>
      </c>
      <c r="E23" s="4">
        <f>'Carnes y Pescados'!$A23*'Carnes y Pescados'!E23/100</f>
        <v>0</v>
      </c>
      <c r="F23" s="4">
        <f>'Carnes y Pescados'!$A23*'Carnes y Pescados'!F23/100</f>
        <v>0</v>
      </c>
      <c r="G23" s="4">
        <f>'Carnes y Pescados'!$A23*'Carnes y Pescados'!G23/100</f>
        <v>0</v>
      </c>
      <c r="H23" s="4">
        <f>'Carnes y Pescados'!$A23*'Carnes y Pescados'!H23/100</f>
        <v>0</v>
      </c>
      <c r="I23" s="4">
        <f>'Carnes y Pescados'!$A23*'Carnes y Pescados'!I23/100</f>
        <v>0</v>
      </c>
      <c r="J23" s="4">
        <f>'Carnes y Pescados'!$A23*'Carnes y Pescados'!J23/100</f>
        <v>0</v>
      </c>
      <c r="K23" s="4">
        <f>'Carnes y Pescados'!$A23*'Carnes y Pescados'!K23/100</f>
        <v>0</v>
      </c>
      <c r="L23" s="4">
        <f>'Carnes y Pescados'!$A23*'Carnes y Pescados'!L23/100</f>
        <v>0</v>
      </c>
      <c r="M23" s="4">
        <f>'Carnes y Pescados'!$A23*'Carnes y Pescados'!M23/100</f>
        <v>0</v>
      </c>
      <c r="N23" s="4">
        <f>'Carnes y Pescados'!$A23*'Carnes y Pescados'!N23/100</f>
        <v>0</v>
      </c>
      <c r="O23" s="4">
        <f>'Carnes y Pescados'!$A23*'Carnes y Pescados'!O23/100</f>
        <v>0</v>
      </c>
      <c r="P23" s="4">
        <f>'Carnes y Pescados'!$A23*'Carnes y Pescados'!P23/100</f>
        <v>0</v>
      </c>
      <c r="Q23" s="4">
        <f>'Carnes y Pescados'!$A23*'Carnes y Pescados'!Q23/100</f>
        <v>0</v>
      </c>
      <c r="R23" s="11">
        <f>'Carnes y Pescados'!$A23*'Carnes y Pescados'!R23/100</f>
        <v>0</v>
      </c>
      <c r="S23" s="11">
        <f>'Carnes y Pescados'!$A23*'Carnes y Pescados'!S23/100</f>
        <v>0</v>
      </c>
      <c r="T23" s="11">
        <f>'Carnes y Pescados'!$A23*'Carnes y Pescados'!T23/100</f>
        <v>0</v>
      </c>
      <c r="U23" s="11">
        <f>'Carnes y Pescados'!$A23*'Carnes y Pescados'!U23/100</f>
        <v>0</v>
      </c>
    </row>
    <row r="24" spans="1:21" x14ac:dyDescent="0.15">
      <c r="A24" s="10">
        <f>'Carnes y Pescados'!A24</f>
        <v>0</v>
      </c>
      <c r="B24" s="4" t="str">
        <f>'Carnes y Pescados'!B24</f>
        <v>Pescado azul (Sardina, Caballa)</v>
      </c>
      <c r="C24" s="4">
        <f>'Carnes y Pescados'!$A24*'Carnes y Pescados'!C24/100</f>
        <v>0</v>
      </c>
      <c r="D24" s="4">
        <f>'Carnes y Pescados'!$A24*'Carnes y Pescados'!D24/100</f>
        <v>0</v>
      </c>
      <c r="E24" s="4">
        <f>'Carnes y Pescados'!$A24*'Carnes y Pescados'!E24/100</f>
        <v>0</v>
      </c>
      <c r="F24" s="4">
        <f>'Carnes y Pescados'!$A24*'Carnes y Pescados'!F24/100</f>
        <v>0</v>
      </c>
      <c r="G24" s="4">
        <f>'Carnes y Pescados'!$A24*'Carnes y Pescados'!G24/100</f>
        <v>0</v>
      </c>
      <c r="H24" s="4">
        <f>'Carnes y Pescados'!$A24*'Carnes y Pescados'!H24/100</f>
        <v>0</v>
      </c>
      <c r="I24" s="4">
        <f>'Carnes y Pescados'!$A24*'Carnes y Pescados'!I24/100</f>
        <v>0</v>
      </c>
      <c r="J24" s="4">
        <f>'Carnes y Pescados'!$A24*'Carnes y Pescados'!J24/100</f>
        <v>0</v>
      </c>
      <c r="K24" s="4">
        <f>'Carnes y Pescados'!$A24*'Carnes y Pescados'!K24/100</f>
        <v>0</v>
      </c>
      <c r="L24" s="4">
        <f>'Carnes y Pescados'!$A24*'Carnes y Pescados'!L24/100</f>
        <v>0</v>
      </c>
      <c r="M24" s="4">
        <f>'Carnes y Pescados'!$A24*'Carnes y Pescados'!M24/100</f>
        <v>0</v>
      </c>
      <c r="N24" s="4">
        <f>'Carnes y Pescados'!$A24*'Carnes y Pescados'!N24/100</f>
        <v>0</v>
      </c>
      <c r="O24" s="4">
        <f>'Carnes y Pescados'!$A24*'Carnes y Pescados'!O24/100</f>
        <v>0</v>
      </c>
      <c r="P24" s="4">
        <f>'Carnes y Pescados'!$A24*'Carnes y Pescados'!P24/100</f>
        <v>0</v>
      </c>
      <c r="Q24" s="4">
        <f>'Carnes y Pescados'!$A24*'Carnes y Pescados'!Q24/100</f>
        <v>0</v>
      </c>
      <c r="R24" s="11">
        <f>'Carnes y Pescados'!$A24*'Carnes y Pescados'!R24/100</f>
        <v>0</v>
      </c>
      <c r="S24" s="11">
        <f>'Carnes y Pescados'!$A24*'Carnes y Pescados'!S24/100</f>
        <v>0</v>
      </c>
      <c r="T24" s="11">
        <f>'Carnes y Pescados'!$A24*'Carnes y Pescados'!T24/100</f>
        <v>0</v>
      </c>
      <c r="U24" s="11">
        <f>'Carnes y Pescados'!$A24*'Carnes y Pescados'!U24/100</f>
        <v>0</v>
      </c>
    </row>
    <row r="25" spans="1:21" x14ac:dyDescent="0.15">
      <c r="A25" s="10">
        <f>'Carnes y Pescados'!A25</f>
        <v>0</v>
      </c>
      <c r="B25" s="4" t="str">
        <f>'Carnes y Pescados'!B25</f>
        <v>Crustaceos</v>
      </c>
      <c r="C25" s="4">
        <f>'Carnes y Pescados'!$A25*'Carnes y Pescados'!C25/100</f>
        <v>0</v>
      </c>
      <c r="D25" s="4">
        <f>'Carnes y Pescados'!$A25*'Carnes y Pescados'!D25/100</f>
        <v>0</v>
      </c>
      <c r="E25" s="4">
        <f>'Carnes y Pescados'!$A25*'Carnes y Pescados'!E25/100</f>
        <v>0</v>
      </c>
      <c r="F25" s="4">
        <f>'Carnes y Pescados'!$A25*'Carnes y Pescados'!F25/100</f>
        <v>0</v>
      </c>
      <c r="G25" s="4">
        <f>'Carnes y Pescados'!$A25*'Carnes y Pescados'!G25/100</f>
        <v>0</v>
      </c>
      <c r="H25" s="4">
        <f>'Carnes y Pescados'!$A25*'Carnes y Pescados'!H25/100</f>
        <v>0</v>
      </c>
      <c r="I25" s="4">
        <f>'Carnes y Pescados'!$A25*'Carnes y Pescados'!I25/100</f>
        <v>0</v>
      </c>
      <c r="J25" s="4">
        <f>'Carnes y Pescados'!$A25*'Carnes y Pescados'!J25/100</f>
        <v>0</v>
      </c>
      <c r="K25" s="4">
        <f>'Carnes y Pescados'!$A25*'Carnes y Pescados'!K25/100</f>
        <v>0</v>
      </c>
      <c r="L25" s="4">
        <f>'Carnes y Pescados'!$A25*'Carnes y Pescados'!L25/100</f>
        <v>0</v>
      </c>
      <c r="M25" s="4">
        <f>'Carnes y Pescados'!$A25*'Carnes y Pescados'!M25/100</f>
        <v>0</v>
      </c>
      <c r="N25" s="4">
        <f>'Carnes y Pescados'!$A25*'Carnes y Pescados'!N25/100</f>
        <v>0</v>
      </c>
      <c r="O25" s="4">
        <f>'Carnes y Pescados'!$A25*'Carnes y Pescados'!O25/100</f>
        <v>0</v>
      </c>
      <c r="P25" s="4">
        <f>'Carnes y Pescados'!$A25*'Carnes y Pescados'!P25/100</f>
        <v>0</v>
      </c>
      <c r="Q25" s="4">
        <f>'Carnes y Pescados'!$A25*'Carnes y Pescados'!Q25/100</f>
        <v>0</v>
      </c>
      <c r="R25" s="11">
        <f>'Carnes y Pescados'!$A25*'Carnes y Pescados'!R25/100</f>
        <v>0</v>
      </c>
      <c r="S25" s="11">
        <f>'Carnes y Pescados'!$A25*'Carnes y Pescados'!S25/100</f>
        <v>0</v>
      </c>
      <c r="T25" s="11">
        <f>'Carnes y Pescados'!$A25*'Carnes y Pescados'!T25/100</f>
        <v>0</v>
      </c>
      <c r="U25" s="11">
        <f>'Carnes y Pescados'!$A25*'Carnes y Pescados'!U25/100</f>
        <v>0</v>
      </c>
    </row>
    <row r="26" spans="1:21" x14ac:dyDescent="0.15">
      <c r="A26" s="10">
        <f>'Carnes y Pescados'!A26</f>
        <v>0</v>
      </c>
      <c r="B26" s="4" t="str">
        <f>'Carnes y Pescados'!B26</f>
        <v>Moluscos</v>
      </c>
      <c r="C26" s="4">
        <f>'Carnes y Pescados'!$A26*'Carnes y Pescados'!C26/100</f>
        <v>0</v>
      </c>
      <c r="D26" s="4">
        <f>'Carnes y Pescados'!$A26*'Carnes y Pescados'!D26/100</f>
        <v>0</v>
      </c>
      <c r="E26" s="4">
        <f>'Carnes y Pescados'!$A26*'Carnes y Pescados'!E26/100</f>
        <v>0</v>
      </c>
      <c r="F26" s="4">
        <f>'Carnes y Pescados'!$A26*'Carnes y Pescados'!F26/100</f>
        <v>0</v>
      </c>
      <c r="G26" s="4">
        <f>'Carnes y Pescados'!$A26*'Carnes y Pescados'!G26/100</f>
        <v>0</v>
      </c>
      <c r="H26" s="4">
        <f>'Carnes y Pescados'!$A26*'Carnes y Pescados'!H26/100</f>
        <v>0</v>
      </c>
      <c r="I26" s="4">
        <f>'Carnes y Pescados'!$A26*'Carnes y Pescados'!I26/100</f>
        <v>0</v>
      </c>
      <c r="J26" s="4">
        <f>'Carnes y Pescados'!$A26*'Carnes y Pescados'!J26/100</f>
        <v>0</v>
      </c>
      <c r="K26" s="4">
        <f>'Carnes y Pescados'!$A26*'Carnes y Pescados'!K26/100</f>
        <v>0</v>
      </c>
      <c r="L26" s="4">
        <f>'Carnes y Pescados'!$A26*'Carnes y Pescados'!L26/100</f>
        <v>0</v>
      </c>
      <c r="M26" s="4">
        <f>'Carnes y Pescados'!$A26*'Carnes y Pescados'!M26/100</f>
        <v>0</v>
      </c>
      <c r="N26" s="4">
        <f>'Carnes y Pescados'!$A26*'Carnes y Pescados'!N26/100</f>
        <v>0</v>
      </c>
      <c r="O26" s="4">
        <f>'Carnes y Pescados'!$A26*'Carnes y Pescados'!O26/100</f>
        <v>0</v>
      </c>
      <c r="P26" s="4">
        <f>'Carnes y Pescados'!$A26*'Carnes y Pescados'!P26/100</f>
        <v>0</v>
      </c>
      <c r="Q26" s="4">
        <f>'Carnes y Pescados'!$A26*'Carnes y Pescados'!Q26/100</f>
        <v>0</v>
      </c>
      <c r="R26" s="11">
        <f>'Carnes y Pescados'!$A26*'Carnes y Pescados'!R26/100</f>
        <v>0</v>
      </c>
      <c r="S26" s="11">
        <f>'Carnes y Pescados'!$A26*'Carnes y Pescados'!S26/100</f>
        <v>0</v>
      </c>
      <c r="T26" s="11">
        <f>'Carnes y Pescados'!$A26*'Carnes y Pescados'!T26/100</f>
        <v>0</v>
      </c>
      <c r="U26" s="11">
        <f>'Carnes y Pescados'!$A26*'Carnes y Pescados'!U26/100</f>
        <v>0</v>
      </c>
    </row>
    <row r="27" spans="1:21" x14ac:dyDescent="0.15">
      <c r="A27" s="10">
        <f>'Carnes y Pescados'!A27</f>
        <v>0</v>
      </c>
      <c r="B27" s="4" t="str">
        <f>'Carnes y Pescados'!B27</f>
        <v>Atún, lata aceite de oliva (escurrido)</v>
      </c>
      <c r="C27" s="4">
        <f>'Carnes y Pescados'!$A27*'Carnes y Pescados'!C27/100</f>
        <v>0</v>
      </c>
      <c r="D27" s="4">
        <f>'Carnes y Pescados'!$A27*'Carnes y Pescados'!D27/100</f>
        <v>0</v>
      </c>
      <c r="E27" s="4">
        <f>'Carnes y Pescados'!$A27*'Carnes y Pescados'!E27/100</f>
        <v>0</v>
      </c>
      <c r="F27" s="4">
        <f>'Carnes y Pescados'!$A27*'Carnes y Pescados'!F27/100</f>
        <v>0</v>
      </c>
      <c r="G27" s="4">
        <f>'Carnes y Pescados'!$A27*'Carnes y Pescados'!G27/100</f>
        <v>0</v>
      </c>
      <c r="H27" s="4">
        <f>'Carnes y Pescados'!$A27*'Carnes y Pescados'!H27/100</f>
        <v>0</v>
      </c>
      <c r="I27" s="4">
        <f>'Carnes y Pescados'!$A27*'Carnes y Pescados'!I27/100</f>
        <v>0</v>
      </c>
      <c r="J27" s="4">
        <f>'Carnes y Pescados'!$A27*'Carnes y Pescados'!J27/100</f>
        <v>0</v>
      </c>
      <c r="K27" s="4">
        <f>'Carnes y Pescados'!$A27*'Carnes y Pescados'!K27/100</f>
        <v>0</v>
      </c>
      <c r="L27" s="4">
        <f>'Carnes y Pescados'!$A27*'Carnes y Pescados'!L27/100</f>
        <v>0</v>
      </c>
      <c r="M27" s="4">
        <f>'Carnes y Pescados'!$A27*'Carnes y Pescados'!M27/100</f>
        <v>0</v>
      </c>
      <c r="N27" s="4">
        <f>'Carnes y Pescados'!$A27*'Carnes y Pescados'!N27/100</f>
        <v>0</v>
      </c>
      <c r="O27" s="4">
        <f>'Carnes y Pescados'!$A27*'Carnes y Pescados'!O27/100</f>
        <v>0</v>
      </c>
      <c r="P27" s="4">
        <f>'Carnes y Pescados'!$A27*'Carnes y Pescados'!P27/100</f>
        <v>0</v>
      </c>
      <c r="Q27" s="4">
        <f>'Carnes y Pescados'!$A27*'Carnes y Pescados'!Q27/100</f>
        <v>0</v>
      </c>
      <c r="R27" s="11">
        <f>'Carnes y Pescados'!$A27*'Carnes y Pescados'!R27/100</f>
        <v>0</v>
      </c>
      <c r="S27" s="11">
        <f>'Carnes y Pescados'!$A27*'Carnes y Pescados'!S27/100</f>
        <v>0</v>
      </c>
      <c r="T27" s="11">
        <f>'Carnes y Pescados'!$A27*'Carnes y Pescados'!T27/100</f>
        <v>0</v>
      </c>
      <c r="U27" s="11">
        <f>'Carnes y Pescados'!$A27*'Carnes y Pescados'!U27/100</f>
        <v>0</v>
      </c>
    </row>
    <row r="28" spans="1:21" x14ac:dyDescent="0.15">
      <c r="A28" s="10">
        <f>'Carnes y Pescados'!A28</f>
        <v>0</v>
      </c>
      <c r="B28" s="4" t="str">
        <f>'Carnes y Pescados'!B28</f>
        <v>Sardina, lata aceite oliva</v>
      </c>
      <c r="C28" s="4">
        <f>'Carnes y Pescados'!$A28*'Carnes y Pescados'!C28/100</f>
        <v>0</v>
      </c>
      <c r="D28" s="4">
        <f>'Carnes y Pescados'!$A28*'Carnes y Pescados'!D28/100</f>
        <v>0</v>
      </c>
      <c r="E28" s="4">
        <f>'Carnes y Pescados'!$A28*'Carnes y Pescados'!E28/100</f>
        <v>0</v>
      </c>
      <c r="F28" s="4">
        <f>'Carnes y Pescados'!$A28*'Carnes y Pescados'!F28/100</f>
        <v>0</v>
      </c>
      <c r="G28" s="4">
        <f>'Carnes y Pescados'!$A28*'Carnes y Pescados'!G28/100</f>
        <v>0</v>
      </c>
      <c r="H28" s="4">
        <f>'Carnes y Pescados'!$A28*'Carnes y Pescados'!H28/100</f>
        <v>0</v>
      </c>
      <c r="I28" s="4">
        <f>'Carnes y Pescados'!$A28*'Carnes y Pescados'!I28/100</f>
        <v>0</v>
      </c>
      <c r="J28" s="4">
        <f>'Carnes y Pescados'!$A28*'Carnes y Pescados'!J28/100</f>
        <v>0</v>
      </c>
      <c r="K28" s="4">
        <f>'Carnes y Pescados'!$A28*'Carnes y Pescados'!K28/100</f>
        <v>0</v>
      </c>
      <c r="L28" s="4">
        <f>'Carnes y Pescados'!$A28*'Carnes y Pescados'!L28/100</f>
        <v>0</v>
      </c>
      <c r="M28" s="4">
        <f>'Carnes y Pescados'!$A28*'Carnes y Pescados'!M28/100</f>
        <v>0</v>
      </c>
      <c r="N28" s="4">
        <f>'Carnes y Pescados'!$A28*'Carnes y Pescados'!N28/100</f>
        <v>0</v>
      </c>
      <c r="O28" s="4">
        <f>'Carnes y Pescados'!$A28*'Carnes y Pescados'!O28/100</f>
        <v>0</v>
      </c>
      <c r="P28" s="4">
        <f>'Carnes y Pescados'!$A28*'Carnes y Pescados'!P28/100</f>
        <v>0</v>
      </c>
      <c r="Q28" s="4">
        <f>'Carnes y Pescados'!$A28*'Carnes y Pescados'!Q28/100</f>
        <v>0</v>
      </c>
      <c r="R28" s="11">
        <f>'Carnes y Pescados'!$A28*'Carnes y Pescados'!R28/100</f>
        <v>0</v>
      </c>
      <c r="S28" s="11">
        <f>'Carnes y Pescados'!$A28*'Carnes y Pescados'!S28/100</f>
        <v>0</v>
      </c>
      <c r="T28" s="11">
        <f>'Carnes y Pescados'!$A28*'Carnes y Pescados'!T28/100</f>
        <v>0</v>
      </c>
      <c r="U28" s="11">
        <f>'Carnes y Pescados'!$A28*'Carnes y Pescados'!U28/100</f>
        <v>0</v>
      </c>
    </row>
    <row r="29" spans="1:21" x14ac:dyDescent="0.15">
      <c r="A29" s="10">
        <f>'Carnes y Pescados'!A29</f>
        <v>0</v>
      </c>
      <c r="B29" s="4" t="str">
        <f>'Carnes y Pescados'!B29</f>
        <v>Atún, lata al natural (escurrido)</v>
      </c>
      <c r="C29" s="4">
        <f>'Carnes y Pescados'!$A29*'Carnes y Pescados'!C29/100</f>
        <v>0</v>
      </c>
      <c r="D29" s="4">
        <f>'Carnes y Pescados'!$A29*'Carnes y Pescados'!D29/100</f>
        <v>0</v>
      </c>
      <c r="E29" s="4">
        <f>'Carnes y Pescados'!$A29*'Carnes y Pescados'!E29/100</f>
        <v>0</v>
      </c>
      <c r="F29" s="4">
        <f>'Carnes y Pescados'!$A29*'Carnes y Pescados'!F29/100</f>
        <v>0</v>
      </c>
      <c r="G29" s="4">
        <f>'Carnes y Pescados'!$A29*'Carnes y Pescados'!G29/100</f>
        <v>0</v>
      </c>
      <c r="H29" s="4">
        <f>'Carnes y Pescados'!$A29*'Carnes y Pescados'!H29/100</f>
        <v>0</v>
      </c>
      <c r="I29" s="4">
        <f>'Carnes y Pescados'!$A29*'Carnes y Pescados'!I29/100</f>
        <v>0</v>
      </c>
      <c r="J29" s="4">
        <f>'Carnes y Pescados'!$A29*'Carnes y Pescados'!J29/100</f>
        <v>0</v>
      </c>
      <c r="K29" s="4">
        <f>'Carnes y Pescados'!$A29*'Carnes y Pescados'!K29/100</f>
        <v>0</v>
      </c>
      <c r="L29" s="4">
        <f>'Carnes y Pescados'!$A29*'Carnes y Pescados'!L29/100</f>
        <v>0</v>
      </c>
      <c r="M29" s="4">
        <f>'Carnes y Pescados'!$A29*'Carnes y Pescados'!M29/100</f>
        <v>0</v>
      </c>
      <c r="N29" s="4">
        <f>'Carnes y Pescados'!$A29*'Carnes y Pescados'!N29/100</f>
        <v>0</v>
      </c>
      <c r="O29" s="4">
        <f>'Carnes y Pescados'!$A29*'Carnes y Pescados'!O29/100</f>
        <v>0</v>
      </c>
      <c r="P29" s="4">
        <f>'Carnes y Pescados'!$A29*'Carnes y Pescados'!P29/100</f>
        <v>0</v>
      </c>
      <c r="Q29" s="4">
        <f>'Carnes y Pescados'!$A29*'Carnes y Pescados'!Q29/100</f>
        <v>0</v>
      </c>
      <c r="R29" s="11">
        <f>'Carnes y Pescados'!$A29*'Carnes y Pescados'!R29/100</f>
        <v>0</v>
      </c>
      <c r="S29" s="11">
        <f>'Carnes y Pescados'!$A29*'Carnes y Pescados'!S29/100</f>
        <v>0</v>
      </c>
      <c r="T29" s="11">
        <f>'Carnes y Pescados'!$A29*'Carnes y Pescados'!T29/100</f>
        <v>0</v>
      </c>
      <c r="U29" s="11">
        <f>'Carnes y Pescados'!$A29*'Carnes y Pescados'!U29/100</f>
        <v>0</v>
      </c>
    </row>
    <row r="30" spans="1:21" x14ac:dyDescent="0.15">
      <c r="A30" s="10">
        <f>'Carnes y Pescados'!A30</f>
        <v>0</v>
      </c>
      <c r="B30" s="4" t="str">
        <f>'Carnes y Pescados'!B30</f>
        <v>Panga</v>
      </c>
      <c r="C30" s="4">
        <f>'Carnes y Pescados'!$A30*'Carnes y Pescados'!C30/100</f>
        <v>0</v>
      </c>
      <c r="D30" s="4">
        <f>'Carnes y Pescados'!$A30*'Carnes y Pescados'!D30/100</f>
        <v>0</v>
      </c>
      <c r="E30" s="4">
        <f>'Carnes y Pescados'!$A30*'Carnes y Pescados'!E30/100</f>
        <v>0</v>
      </c>
      <c r="F30" s="4">
        <f>'Carnes y Pescados'!$A30*'Carnes y Pescados'!F30/100</f>
        <v>0</v>
      </c>
      <c r="G30" s="4">
        <f>'Carnes y Pescados'!$A30*'Carnes y Pescados'!G30/100</f>
        <v>0</v>
      </c>
      <c r="H30" s="4">
        <f>'Carnes y Pescados'!$A30*'Carnes y Pescados'!H30/100</f>
        <v>0</v>
      </c>
      <c r="I30" s="4">
        <f>'Carnes y Pescados'!$A30*'Carnes y Pescados'!I30/100</f>
        <v>0</v>
      </c>
      <c r="J30" s="4">
        <f>'Carnes y Pescados'!$A30*'Carnes y Pescados'!J30/100</f>
        <v>0</v>
      </c>
      <c r="K30" s="4">
        <f>'Carnes y Pescados'!$A30*'Carnes y Pescados'!K30/100</f>
        <v>0</v>
      </c>
      <c r="L30" s="4">
        <f>'Carnes y Pescados'!$A30*'Carnes y Pescados'!L30/100</f>
        <v>0</v>
      </c>
      <c r="M30" s="4">
        <f>'Carnes y Pescados'!$A30*'Carnes y Pescados'!M30/100</f>
        <v>0</v>
      </c>
      <c r="N30" s="4">
        <f>'Carnes y Pescados'!$A30*'Carnes y Pescados'!N30/100</f>
        <v>0</v>
      </c>
      <c r="O30" s="4">
        <f>'Carnes y Pescados'!$A30*'Carnes y Pescados'!O30/100</f>
        <v>0</v>
      </c>
      <c r="P30" s="4">
        <f>'Carnes y Pescados'!$A30*'Carnes y Pescados'!P30/100</f>
        <v>0</v>
      </c>
      <c r="Q30" s="4">
        <f>'Carnes y Pescados'!$A30*'Carnes y Pescados'!Q30/100</f>
        <v>0</v>
      </c>
      <c r="R30" s="11">
        <f>'Carnes y Pescados'!$A30*'Carnes y Pescados'!R30/100</f>
        <v>0</v>
      </c>
      <c r="S30" s="11">
        <f>'Carnes y Pescados'!$A30*'Carnes y Pescados'!S30/100</f>
        <v>0</v>
      </c>
      <c r="T30" s="11">
        <f>'Carnes y Pescados'!$A30*'Carnes y Pescados'!T30/100</f>
        <v>0</v>
      </c>
      <c r="U30" s="11">
        <f>'Carnes y Pescados'!$A30*'Carnes y Pescados'!U30/100</f>
        <v>0</v>
      </c>
    </row>
    <row r="31" spans="1:21" x14ac:dyDescent="0.15">
      <c r="A31" s="10">
        <f>'Carnes y Pescados'!A31</f>
        <v>0</v>
      </c>
      <c r="B31" s="4" t="str">
        <f>'Carnes y Pescados'!B31</f>
        <v>Salmón</v>
      </c>
      <c r="C31" s="4">
        <f>'Carnes y Pescados'!$A31*'Carnes y Pescados'!C31/100</f>
        <v>0</v>
      </c>
      <c r="D31" s="4">
        <f>'Carnes y Pescados'!$A31*'Carnes y Pescados'!D31/100</f>
        <v>0</v>
      </c>
      <c r="E31" s="4">
        <f>'Carnes y Pescados'!$A31*'Carnes y Pescados'!E31/100</f>
        <v>0</v>
      </c>
      <c r="F31" s="4">
        <f>'Carnes y Pescados'!$A31*'Carnes y Pescados'!F31/100</f>
        <v>0</v>
      </c>
      <c r="G31" s="4">
        <f>'Carnes y Pescados'!$A31*'Carnes y Pescados'!G31/100</f>
        <v>0</v>
      </c>
      <c r="H31" s="4">
        <f>'Carnes y Pescados'!$A31*'Carnes y Pescados'!H31/100</f>
        <v>0</v>
      </c>
      <c r="I31" s="4">
        <f>'Carnes y Pescados'!$A31*'Carnes y Pescados'!I31/100</f>
        <v>0</v>
      </c>
      <c r="J31" s="4">
        <f>'Carnes y Pescados'!$A31*'Carnes y Pescados'!J31/100</f>
        <v>0</v>
      </c>
      <c r="K31" s="4">
        <f>'Carnes y Pescados'!$A31*'Carnes y Pescados'!K31/100</f>
        <v>0</v>
      </c>
      <c r="L31" s="4">
        <f>'Carnes y Pescados'!$A31*'Carnes y Pescados'!L31/100</f>
        <v>0</v>
      </c>
      <c r="M31" s="4">
        <f>'Carnes y Pescados'!$A31*'Carnes y Pescados'!M31/100</f>
        <v>0</v>
      </c>
      <c r="N31" s="4">
        <f>'Carnes y Pescados'!$A31*'Carnes y Pescados'!N31/100</f>
        <v>0</v>
      </c>
      <c r="O31" s="4">
        <f>'Carnes y Pescados'!$A31*'Carnes y Pescados'!O31/100</f>
        <v>0</v>
      </c>
      <c r="P31" s="4">
        <f>'Carnes y Pescados'!$A31*'Carnes y Pescados'!P31/100</f>
        <v>0</v>
      </c>
      <c r="Q31" s="4">
        <f>'Carnes y Pescados'!$A31*'Carnes y Pescados'!Q31/100</f>
        <v>0</v>
      </c>
      <c r="R31" s="11">
        <f>'Carnes y Pescados'!$A31*'Carnes y Pescados'!R31/100</f>
        <v>0</v>
      </c>
      <c r="S31" s="11">
        <f>'Carnes y Pescados'!$A31*'Carnes y Pescados'!S31/100</f>
        <v>0</v>
      </c>
      <c r="T31" s="11">
        <f>'Carnes y Pescados'!$A31*'Carnes y Pescados'!T31/100</f>
        <v>0</v>
      </c>
      <c r="U31" s="11">
        <f>'Carnes y Pescados'!$A31*'Carnes y Pescados'!U31/100</f>
        <v>0</v>
      </c>
    </row>
    <row r="32" spans="1:21" x14ac:dyDescent="0.15">
      <c r="A32" s="10">
        <f>'Huevos y Lacteos'!A4</f>
        <v>90</v>
      </c>
      <c r="B32" s="4" t="str">
        <f>'Huevos y Lacteos'!B4</f>
        <v>Huevo Entero</v>
      </c>
      <c r="C32" s="4">
        <f>'Huevos y Lacteos'!$A4*'Huevos y Lacteos'!C4/100</f>
        <v>67.5</v>
      </c>
      <c r="D32" s="4">
        <f>'Huevos y Lacteos'!$A4*'Huevos y Lacteos'!D4/100</f>
        <v>145.80000000000001</v>
      </c>
      <c r="E32" s="4">
        <f>'Huevos y Lacteos'!$A4*'Huevos y Lacteos'!E4/100</f>
        <v>11.43</v>
      </c>
      <c r="F32" s="4">
        <f>'Huevos y Lacteos'!$A4*'Huevos y Lacteos'!F4/100</f>
        <v>10.89</v>
      </c>
      <c r="G32" s="4">
        <f>'Huevos y Lacteos'!$A4*'Huevos y Lacteos'!G4/100</f>
        <v>0.62999999999999989</v>
      </c>
      <c r="H32" s="4">
        <f>'Huevos y Lacteos'!$A4*'Huevos y Lacteos'!H4/100</f>
        <v>117</v>
      </c>
      <c r="I32" s="4">
        <f>'Huevos y Lacteos'!$A4*'Huevos y Lacteos'!I4/100</f>
        <v>117</v>
      </c>
      <c r="J32" s="4">
        <f>'Huevos y Lacteos'!$A4*'Huevos y Lacteos'!J4/100</f>
        <v>180</v>
      </c>
      <c r="K32" s="4">
        <f>'Huevos y Lacteos'!$A4*'Huevos y Lacteos'!K4/100</f>
        <v>50.4</v>
      </c>
      <c r="L32" s="4">
        <f>'Huevos y Lacteos'!$A4*'Huevos y Lacteos'!L4/100</f>
        <v>1.9800000000000002</v>
      </c>
      <c r="M32" s="4">
        <f>'Huevos y Lacteos'!$A4*'Huevos y Lacteos'!M4/100</f>
        <v>0</v>
      </c>
      <c r="N32" s="4">
        <f>'Huevos y Lacteos'!$A4*'Huevos y Lacteos'!N4/100</f>
        <v>9.9000000000000005E-2</v>
      </c>
      <c r="O32" s="4">
        <f>'Huevos y Lacteos'!$A4*'Huevos y Lacteos'!O4/100</f>
        <v>0.28800000000000003</v>
      </c>
      <c r="P32" s="4">
        <f>'Huevos y Lacteos'!$A4*'Huevos y Lacteos'!P4/100</f>
        <v>0.09</v>
      </c>
      <c r="Q32" s="4">
        <f>'Huevos y Lacteos'!$A4*'Huevos y Lacteos'!Q4/100</f>
        <v>36</v>
      </c>
      <c r="R32" s="11">
        <f>'Huevos y Lacteos'!$A4*'Huevos y Lacteos'!R4/100</f>
        <v>180</v>
      </c>
      <c r="S32" s="11">
        <f>'Huevos y Lacteos'!$A4*'Huevos y Lacteos'!S4/100</f>
        <v>0.22500000000000001</v>
      </c>
      <c r="T32" s="11">
        <f>'Huevos y Lacteos'!$A4*'Huevos y Lacteos'!T4/100</f>
        <v>360</v>
      </c>
      <c r="U32" s="11">
        <f>'Huevos y Lacteos'!$A4*'Huevos y Lacteos'!U4/100</f>
        <v>10.8</v>
      </c>
    </row>
    <row r="33" spans="1:21" x14ac:dyDescent="0.15">
      <c r="A33" s="10">
        <f>'Huevos y Lacteos'!A5</f>
        <v>300</v>
      </c>
      <c r="B33" s="4" t="str">
        <f>'Huevos y Lacteos'!B5</f>
        <v>Huevo Clara</v>
      </c>
      <c r="C33" s="4">
        <f>'Huevos y Lacteos'!$A5*'Huevos y Lacteos'!C5/100</f>
        <v>263.7</v>
      </c>
      <c r="D33" s="4">
        <f>'Huevos y Lacteos'!$A5*'Huevos y Lacteos'!D5/100</f>
        <v>138</v>
      </c>
      <c r="E33" s="4">
        <f>'Huevos y Lacteos'!$A5*'Huevos y Lacteos'!E5/100</f>
        <v>30.9</v>
      </c>
      <c r="F33" s="4">
        <f>'Huevos y Lacteos'!$A5*'Huevos y Lacteos'!F5/100</f>
        <v>0.3</v>
      </c>
      <c r="G33" s="4">
        <f>'Huevos y Lacteos'!$A5*'Huevos y Lacteos'!G5/100</f>
        <v>2.7</v>
      </c>
      <c r="H33" s="4">
        <f>'Huevos y Lacteos'!$A5*'Huevos y Lacteos'!H5/100</f>
        <v>450</v>
      </c>
      <c r="I33" s="4">
        <f>'Huevos y Lacteos'!$A5*'Huevos y Lacteos'!I5/100</f>
        <v>420</v>
      </c>
      <c r="J33" s="4">
        <f>'Huevos y Lacteos'!$A5*'Huevos y Lacteos'!J5/100</f>
        <v>54</v>
      </c>
      <c r="K33" s="4">
        <f>'Huevos y Lacteos'!$A5*'Huevos y Lacteos'!K5/100</f>
        <v>30</v>
      </c>
      <c r="L33" s="4">
        <f>'Huevos y Lacteos'!$A5*'Huevos y Lacteos'!L5/100</f>
        <v>0.3</v>
      </c>
      <c r="M33" s="4">
        <f>'Huevos y Lacteos'!$A5*'Huevos y Lacteos'!M5/100</f>
        <v>0</v>
      </c>
      <c r="N33" s="4">
        <f>'Huevos y Lacteos'!$A5*'Huevos y Lacteos'!N5/100</f>
        <v>0.03</v>
      </c>
      <c r="O33" s="4">
        <f>'Huevos y Lacteos'!$A5*'Huevos y Lacteos'!O5/100</f>
        <v>1.08</v>
      </c>
      <c r="P33" s="4">
        <f>'Huevos y Lacteos'!$A5*'Huevos y Lacteos'!P5/100</f>
        <v>0.3</v>
      </c>
      <c r="Q33" s="4">
        <f>'Huevos y Lacteos'!$A5*'Huevos y Lacteos'!Q5/100</f>
        <v>0</v>
      </c>
      <c r="R33" s="11">
        <f>'Huevos y Lacteos'!$A5*'Huevos y Lacteos'!R5/100</f>
        <v>0</v>
      </c>
      <c r="S33" s="11">
        <f>'Huevos y Lacteos'!$A5*'Huevos y Lacteos'!S5/100</f>
        <v>1.0200000000000002</v>
      </c>
      <c r="T33" s="11">
        <f>'Huevos y Lacteos'!$A5*'Huevos y Lacteos'!T5/100</f>
        <v>0</v>
      </c>
      <c r="U33" s="11">
        <f>'Huevos y Lacteos'!$A5*'Huevos y Lacteos'!U5/100</f>
        <v>30</v>
      </c>
    </row>
    <row r="34" spans="1:21" x14ac:dyDescent="0.15">
      <c r="A34" s="10">
        <f>'Huevos y Lacteos'!A6</f>
        <v>0</v>
      </c>
      <c r="B34" s="4" t="str">
        <f>'Huevos y Lacteos'!B6</f>
        <v>Huevo Yema</v>
      </c>
      <c r="C34" s="4">
        <f>'Huevos y Lacteos'!$A6*'Huevos y Lacteos'!C6/100</f>
        <v>0</v>
      </c>
      <c r="D34" s="4">
        <f>'Huevos y Lacteos'!$A6*'Huevos y Lacteos'!D6/100</f>
        <v>0</v>
      </c>
      <c r="E34" s="4">
        <f>'Huevos y Lacteos'!$A6*'Huevos y Lacteos'!E6/100</f>
        <v>0</v>
      </c>
      <c r="F34" s="4">
        <f>'Huevos y Lacteos'!$A6*'Huevos y Lacteos'!F6/100</f>
        <v>0</v>
      </c>
      <c r="G34" s="4">
        <f>'Huevos y Lacteos'!$A6*'Huevos y Lacteos'!G6/100</f>
        <v>0</v>
      </c>
      <c r="H34" s="4">
        <f>'Huevos y Lacteos'!$A6*'Huevos y Lacteos'!H6/100</f>
        <v>0</v>
      </c>
      <c r="I34" s="4">
        <f>'Huevos y Lacteos'!$A6*'Huevos y Lacteos'!I6/100</f>
        <v>0</v>
      </c>
      <c r="J34" s="4">
        <f>'Huevos y Lacteos'!$A6*'Huevos y Lacteos'!J6/100</f>
        <v>0</v>
      </c>
      <c r="K34" s="4">
        <f>'Huevos y Lacteos'!$A6*'Huevos y Lacteos'!K6/100</f>
        <v>0</v>
      </c>
      <c r="L34" s="4">
        <f>'Huevos y Lacteos'!$A6*'Huevos y Lacteos'!L6/100</f>
        <v>0</v>
      </c>
      <c r="M34" s="4">
        <f>'Huevos y Lacteos'!$A6*'Huevos y Lacteos'!M6/100</f>
        <v>0</v>
      </c>
      <c r="N34" s="4">
        <f>'Huevos y Lacteos'!$A6*'Huevos y Lacteos'!N6/100</f>
        <v>0</v>
      </c>
      <c r="O34" s="4">
        <f>'Huevos y Lacteos'!$A6*'Huevos y Lacteos'!O6/100</f>
        <v>0</v>
      </c>
      <c r="P34" s="4">
        <f>'Huevos y Lacteos'!$A6*'Huevos y Lacteos'!P6/100</f>
        <v>0</v>
      </c>
      <c r="Q34" s="4">
        <f>'Huevos y Lacteos'!$A6*'Huevos y Lacteos'!Q6/100</f>
        <v>0</v>
      </c>
      <c r="R34" s="11">
        <f>'Huevos y Lacteos'!$A6*'Huevos y Lacteos'!R6/100</f>
        <v>0</v>
      </c>
      <c r="S34" s="11">
        <f>'Huevos y Lacteos'!$A6*'Huevos y Lacteos'!S6/100</f>
        <v>0</v>
      </c>
      <c r="T34" s="11">
        <f>'Huevos y Lacteos'!$A6*'Huevos y Lacteos'!T6/100</f>
        <v>0</v>
      </c>
      <c r="U34" s="11">
        <f>'Huevos y Lacteos'!$A6*'Huevos y Lacteos'!U6/100</f>
        <v>0</v>
      </c>
    </row>
    <row r="35" spans="1:21" x14ac:dyDescent="0.15">
      <c r="A35" s="10">
        <f>'Huevos y Lacteos'!A7</f>
        <v>0</v>
      </c>
      <c r="B35" s="4" t="str">
        <f>'Huevos y Lacteos'!B7</f>
        <v>Flan de huevo</v>
      </c>
      <c r="C35" s="4">
        <f>'Huevos y Lacteos'!$A7*'Huevos y Lacteos'!C7/100</f>
        <v>0</v>
      </c>
      <c r="D35" s="4">
        <f>'Huevos y Lacteos'!$A7*'Huevos y Lacteos'!D7/100</f>
        <v>0</v>
      </c>
      <c r="E35" s="4">
        <f>'Huevos y Lacteos'!$A7*'Huevos y Lacteos'!E7/100</f>
        <v>0</v>
      </c>
      <c r="F35" s="4">
        <f>'Huevos y Lacteos'!$A7*'Huevos y Lacteos'!F7/100</f>
        <v>0</v>
      </c>
      <c r="G35" s="4">
        <f>'Huevos y Lacteos'!$A7*'Huevos y Lacteos'!G7/100</f>
        <v>0</v>
      </c>
      <c r="H35" s="4">
        <f>'Huevos y Lacteos'!$A7*'Huevos y Lacteos'!H7/100</f>
        <v>0</v>
      </c>
      <c r="I35" s="4">
        <f>'Huevos y Lacteos'!$A7*'Huevos y Lacteos'!I7/100</f>
        <v>0</v>
      </c>
      <c r="J35" s="4">
        <f>'Huevos y Lacteos'!$A7*'Huevos y Lacteos'!J7/100</f>
        <v>0</v>
      </c>
      <c r="K35" s="4">
        <f>'Huevos y Lacteos'!$A7*'Huevos y Lacteos'!K7/100</f>
        <v>0</v>
      </c>
      <c r="L35" s="4">
        <f>'Huevos y Lacteos'!$A7*'Huevos y Lacteos'!L7/100</f>
        <v>0</v>
      </c>
      <c r="M35" s="4">
        <f>'Huevos y Lacteos'!$A7*'Huevos y Lacteos'!M7/100</f>
        <v>0</v>
      </c>
      <c r="N35" s="4">
        <f>'Huevos y Lacteos'!$A7*'Huevos y Lacteos'!N7/100</f>
        <v>0</v>
      </c>
      <c r="O35" s="4">
        <f>'Huevos y Lacteos'!$A7*'Huevos y Lacteos'!O7/100</f>
        <v>0</v>
      </c>
      <c r="P35" s="4">
        <f>'Huevos y Lacteos'!$A7*'Huevos y Lacteos'!P7/100</f>
        <v>0</v>
      </c>
      <c r="Q35" s="4">
        <f>'Huevos y Lacteos'!$A7*'Huevos y Lacteos'!Q7/100</f>
        <v>0</v>
      </c>
      <c r="R35" s="11">
        <f>'Huevos y Lacteos'!$A7*'Huevos y Lacteos'!R7/100</f>
        <v>0</v>
      </c>
      <c r="S35" s="11">
        <f>'Huevos y Lacteos'!$A7*'Huevos y Lacteos'!S7/100</f>
        <v>0</v>
      </c>
      <c r="T35" s="11">
        <f>'Huevos y Lacteos'!$A7*'Huevos y Lacteos'!T7/100</f>
        <v>0</v>
      </c>
      <c r="U35" s="11">
        <f>'Huevos y Lacteos'!$A7*'Huevos y Lacteos'!U7/100</f>
        <v>0</v>
      </c>
    </row>
    <row r="36" spans="1:21" x14ac:dyDescent="0.15">
      <c r="A36" s="10"/>
      <c r="B36" s="4"/>
      <c r="C36" s="4"/>
      <c r="D36" s="4"/>
      <c r="E36" s="4"/>
      <c r="F36" s="4"/>
      <c r="G36" s="4"/>
      <c r="H36" s="4"/>
      <c r="I36" s="4"/>
      <c r="J36" s="4"/>
      <c r="K36" s="4"/>
      <c r="L36" s="4"/>
      <c r="M36" s="4"/>
      <c r="N36" s="4"/>
      <c r="O36" s="4"/>
      <c r="P36" s="4"/>
      <c r="Q36" s="4"/>
      <c r="R36" s="11"/>
      <c r="S36" s="11"/>
      <c r="T36" s="11"/>
      <c r="U36" s="11"/>
    </row>
    <row r="37" spans="1:21" x14ac:dyDescent="0.15">
      <c r="A37" s="10">
        <f>'Huevos y Lacteos'!A9</f>
        <v>0</v>
      </c>
      <c r="B37" s="4" t="str">
        <f>'Huevos y Lacteos'!B9</f>
        <v>Suplementos Deportivos</v>
      </c>
      <c r="C37" s="4">
        <f>'Huevos y Lacteos'!$A9*'Huevos y Lacteos'!C9/100</f>
        <v>0</v>
      </c>
      <c r="D37" s="4">
        <f>'Huevos y Lacteos'!$A9*'Huevos y Lacteos'!D9/100</f>
        <v>0</v>
      </c>
      <c r="E37" s="4">
        <f>'Huevos y Lacteos'!$A9*'Huevos y Lacteos'!E9/100</f>
        <v>0</v>
      </c>
      <c r="F37" s="4">
        <f>'Huevos y Lacteos'!$A9*'Huevos y Lacteos'!F9/100</f>
        <v>0</v>
      </c>
      <c r="G37" s="4">
        <f>'Huevos y Lacteos'!$A9*'Huevos y Lacteos'!G9/100</f>
        <v>0</v>
      </c>
      <c r="H37" s="4">
        <f>'Huevos y Lacteos'!$A9*'Huevos y Lacteos'!H9/100</f>
        <v>0</v>
      </c>
      <c r="I37" s="4">
        <f>'Huevos y Lacteos'!$A9*'Huevos y Lacteos'!I9/100</f>
        <v>0</v>
      </c>
      <c r="J37" s="4">
        <f>'Huevos y Lacteos'!$A9*'Huevos y Lacteos'!J9/100</f>
        <v>0</v>
      </c>
      <c r="K37" s="4">
        <f>'Huevos y Lacteos'!$A9*'Huevos y Lacteos'!K9/100</f>
        <v>0</v>
      </c>
      <c r="L37" s="4">
        <f>'Huevos y Lacteos'!$A9*'Huevos y Lacteos'!L9/100</f>
        <v>0</v>
      </c>
      <c r="M37" s="4">
        <f>'Huevos y Lacteos'!$A9*'Huevos y Lacteos'!M9/100</f>
        <v>0</v>
      </c>
      <c r="N37" s="4">
        <f>'Huevos y Lacteos'!$A9*'Huevos y Lacteos'!N9/100</f>
        <v>0</v>
      </c>
      <c r="O37" s="4">
        <f>'Huevos y Lacteos'!$A9*'Huevos y Lacteos'!O9/100</f>
        <v>0</v>
      </c>
      <c r="P37" s="4">
        <f>'Huevos y Lacteos'!$A9*'Huevos y Lacteos'!P9/100</f>
        <v>0</v>
      </c>
      <c r="Q37" s="4">
        <f>'Huevos y Lacteos'!$A9*'Huevos y Lacteos'!Q9/100</f>
        <v>0</v>
      </c>
      <c r="R37" s="11">
        <f>'Huevos y Lacteos'!$A9*'Huevos y Lacteos'!R9/100</f>
        <v>0</v>
      </c>
      <c r="S37" s="11">
        <f>'Huevos y Lacteos'!$A9*'Huevos y Lacteos'!S9/100</f>
        <v>0</v>
      </c>
      <c r="T37" s="11">
        <f>'Huevos y Lacteos'!$A9*'Huevos y Lacteos'!T9/100</f>
        <v>0</v>
      </c>
      <c r="U37" s="11">
        <f>'Huevos y Lacteos'!$A9*'Huevos y Lacteos'!U9/100</f>
        <v>0</v>
      </c>
    </row>
    <row r="38" spans="1:21" x14ac:dyDescent="0.15">
      <c r="A38" s="10">
        <f>'Huevos y Lacteos'!A10</f>
        <v>0</v>
      </c>
      <c r="B38" s="4" t="str">
        <f>'Huevos y Lacteos'!B10</f>
        <v>Proteina de Suero (Concentrado)</v>
      </c>
      <c r="C38" s="4">
        <f>'Huevos y Lacteos'!$A10*'Huevos y Lacteos'!C10/100</f>
        <v>0</v>
      </c>
      <c r="D38" s="4">
        <f>'Huevos y Lacteos'!$A10*'Huevos y Lacteos'!D10/100</f>
        <v>0</v>
      </c>
      <c r="E38" s="4">
        <f>'Huevos y Lacteos'!$A10*'Huevos y Lacteos'!E10/100</f>
        <v>0</v>
      </c>
      <c r="F38" s="4">
        <f>'Huevos y Lacteos'!$A10*'Huevos y Lacteos'!F10/100</f>
        <v>0</v>
      </c>
      <c r="G38" s="4">
        <f>'Huevos y Lacteos'!$A10*'Huevos y Lacteos'!G10/100</f>
        <v>0</v>
      </c>
      <c r="H38" s="4">
        <f>'Huevos y Lacteos'!$A10*'Huevos y Lacteos'!H10/100</f>
        <v>0</v>
      </c>
      <c r="I38" s="4">
        <f>'Huevos y Lacteos'!$A10*'Huevos y Lacteos'!I10/100</f>
        <v>0</v>
      </c>
      <c r="J38" s="4">
        <f>'Huevos y Lacteos'!$A10*'Huevos y Lacteos'!J10/100</f>
        <v>0</v>
      </c>
      <c r="K38" s="4">
        <f>'Huevos y Lacteos'!$A10*'Huevos y Lacteos'!K10/100</f>
        <v>0</v>
      </c>
      <c r="L38" s="4">
        <f>'Huevos y Lacteos'!$A10*'Huevos y Lacteos'!L10/100</f>
        <v>0</v>
      </c>
      <c r="M38" s="4">
        <f>'Huevos y Lacteos'!$A10*'Huevos y Lacteos'!M10/100</f>
        <v>0</v>
      </c>
      <c r="N38" s="4">
        <f>'Huevos y Lacteos'!$A10*'Huevos y Lacteos'!N10/100</f>
        <v>0</v>
      </c>
      <c r="O38" s="4">
        <f>'Huevos y Lacteos'!$A10*'Huevos y Lacteos'!O10/100</f>
        <v>0</v>
      </c>
      <c r="P38" s="4">
        <f>'Huevos y Lacteos'!$A10*'Huevos y Lacteos'!P10/100</f>
        <v>0</v>
      </c>
      <c r="Q38" s="4">
        <f>'Huevos y Lacteos'!$A10*'Huevos y Lacteos'!Q10/100</f>
        <v>0</v>
      </c>
      <c r="R38" s="11">
        <f>'Huevos y Lacteos'!$A10*'Huevos y Lacteos'!R10/100</f>
        <v>0</v>
      </c>
      <c r="S38" s="11">
        <f>'Huevos y Lacteos'!$A10*'Huevos y Lacteos'!S10/100</f>
        <v>0</v>
      </c>
      <c r="T38" s="11">
        <f>'Huevos y Lacteos'!$A10*'Huevos y Lacteos'!T10/100</f>
        <v>0</v>
      </c>
      <c r="U38" s="11">
        <f>'Huevos y Lacteos'!$A10*'Huevos y Lacteos'!U10/100</f>
        <v>0</v>
      </c>
    </row>
    <row r="39" spans="1:21" x14ac:dyDescent="0.15">
      <c r="A39" s="10">
        <f>'Huevos y Lacteos'!A11</f>
        <v>0</v>
      </c>
      <c r="B39" s="4" t="str">
        <f>'Huevos y Lacteos'!B11</f>
        <v>Carbohidratos en Polvo</v>
      </c>
      <c r="C39" s="4">
        <f>'Huevos y Lacteos'!$A11*'Huevos y Lacteos'!C11/100</f>
        <v>0</v>
      </c>
      <c r="D39" s="4">
        <f>'Huevos y Lacteos'!$A11*'Huevos y Lacteos'!D11/100</f>
        <v>0</v>
      </c>
      <c r="E39" s="4">
        <f>'Huevos y Lacteos'!$A11*'Huevos y Lacteos'!E11/100</f>
        <v>0</v>
      </c>
      <c r="F39" s="4">
        <f>'Huevos y Lacteos'!$A11*'Huevos y Lacteos'!F11/100</f>
        <v>0</v>
      </c>
      <c r="G39" s="4">
        <f>'Huevos y Lacteos'!$A11*'Huevos y Lacteos'!G11/100</f>
        <v>0</v>
      </c>
      <c r="H39" s="4">
        <f>'Huevos y Lacteos'!$A11*'Huevos y Lacteos'!H11/100</f>
        <v>0</v>
      </c>
      <c r="I39" s="4">
        <f>'Huevos y Lacteos'!$A11*'Huevos y Lacteos'!I11/100</f>
        <v>0</v>
      </c>
      <c r="J39" s="4">
        <f>'Huevos y Lacteos'!$A11*'Huevos y Lacteos'!J11/100</f>
        <v>0</v>
      </c>
      <c r="K39" s="4">
        <f>'Huevos y Lacteos'!$A11*'Huevos y Lacteos'!K11/100</f>
        <v>0</v>
      </c>
      <c r="L39" s="4">
        <f>'Huevos y Lacteos'!$A11*'Huevos y Lacteos'!L11/100</f>
        <v>0</v>
      </c>
      <c r="M39" s="4">
        <f>'Huevos y Lacteos'!$A11*'Huevos y Lacteos'!M11/100</f>
        <v>0</v>
      </c>
      <c r="N39" s="4">
        <f>'Huevos y Lacteos'!$A11*'Huevos y Lacteos'!N11/100</f>
        <v>0</v>
      </c>
      <c r="O39" s="4">
        <f>'Huevos y Lacteos'!$A11*'Huevos y Lacteos'!O11/100</f>
        <v>0</v>
      </c>
      <c r="P39" s="4">
        <f>'Huevos y Lacteos'!$A11*'Huevos y Lacteos'!P11/100</f>
        <v>0</v>
      </c>
      <c r="Q39" s="4">
        <f>'Huevos y Lacteos'!$A11*'Huevos y Lacteos'!Q11/100</f>
        <v>0</v>
      </c>
      <c r="R39" s="11">
        <f>'Huevos y Lacteos'!$A11*'Huevos y Lacteos'!R11/100</f>
        <v>0</v>
      </c>
      <c r="S39" s="11">
        <f>'Huevos y Lacteos'!$A11*'Huevos y Lacteos'!S11/100</f>
        <v>0</v>
      </c>
      <c r="T39" s="11">
        <f>'Huevos y Lacteos'!$A11*'Huevos y Lacteos'!T11/100</f>
        <v>0</v>
      </c>
      <c r="U39" s="11">
        <f>'Huevos y Lacteos'!$A11*'Huevos y Lacteos'!U11/100</f>
        <v>0</v>
      </c>
    </row>
    <row r="40" spans="1:21" x14ac:dyDescent="0.15">
      <c r="A40" s="10">
        <f>'Huevos y Lacteos'!A12</f>
        <v>35</v>
      </c>
      <c r="B40" s="4" t="str">
        <f>'Huevos y Lacteos'!B12</f>
        <v>Proteina de Suero (Aislado )</v>
      </c>
      <c r="C40" s="4">
        <f>'Huevos y Lacteos'!$A12*'Huevos y Lacteos'!C12/100</f>
        <v>2.8</v>
      </c>
      <c r="D40" s="4">
        <f>'Huevos y Lacteos'!$A12*'Huevos y Lacteos'!D12/100</f>
        <v>129.36000000000001</v>
      </c>
      <c r="E40" s="4">
        <f>'Huevos y Lacteos'!$A12*'Huevos y Lacteos'!E12/100</f>
        <v>30.975000000000001</v>
      </c>
      <c r="F40" s="4">
        <f>'Huevos y Lacteos'!$A12*'Huevos y Lacteos'!F12/100</f>
        <v>0.63</v>
      </c>
      <c r="G40" s="4">
        <f>'Huevos y Lacteos'!$A12*'Huevos y Lacteos'!G12/100</f>
        <v>0.59499999999999997</v>
      </c>
      <c r="H40" s="4">
        <f>'Huevos y Lacteos'!$A12*'Huevos y Lacteos'!H12/100</f>
        <v>106.575</v>
      </c>
      <c r="I40" s="4">
        <f>'Huevos y Lacteos'!$A12*'Huevos y Lacteos'!I12/100</f>
        <v>0</v>
      </c>
      <c r="J40" s="4">
        <f>'Huevos y Lacteos'!$A12*'Huevos y Lacteos'!J12/100</f>
        <v>0</v>
      </c>
      <c r="K40" s="4">
        <f>'Huevos y Lacteos'!$A12*'Huevos y Lacteos'!K12/100</f>
        <v>0</v>
      </c>
      <c r="L40" s="4">
        <f>'Huevos y Lacteos'!$A12*'Huevos y Lacteos'!L12/100</f>
        <v>0</v>
      </c>
      <c r="M40" s="4">
        <f>'Huevos y Lacteos'!$A12*'Huevos y Lacteos'!M12/100</f>
        <v>0</v>
      </c>
      <c r="N40" s="4">
        <f>'Huevos y Lacteos'!$A12*'Huevos y Lacteos'!N12/100</f>
        <v>0</v>
      </c>
      <c r="O40" s="4">
        <f>'Huevos y Lacteos'!$A12*'Huevos y Lacteos'!O12/100</f>
        <v>0</v>
      </c>
      <c r="P40" s="4">
        <f>'Huevos y Lacteos'!$A12*'Huevos y Lacteos'!P12/100</f>
        <v>0</v>
      </c>
      <c r="Q40" s="4">
        <f>'Huevos y Lacteos'!$A12*'Huevos y Lacteos'!Q12/100</f>
        <v>0</v>
      </c>
      <c r="R40" s="11">
        <f>'Huevos y Lacteos'!$A12*'Huevos y Lacteos'!R12/100</f>
        <v>0</v>
      </c>
      <c r="S40" s="11">
        <f>'Huevos y Lacteos'!$A12*'Huevos y Lacteos'!S12/100</f>
        <v>1.2250000000000001</v>
      </c>
      <c r="T40" s="11">
        <f>'Huevos y Lacteos'!$A12*'Huevos y Lacteos'!T12/100</f>
        <v>0</v>
      </c>
      <c r="U40" s="11">
        <f>'Huevos y Lacteos'!$A12*'Huevos y Lacteos'!U12/100</f>
        <v>0</v>
      </c>
    </row>
    <row r="41" spans="1:21" x14ac:dyDescent="0.15">
      <c r="A41" s="10">
        <f>'Huevos y Lacteos'!A13</f>
        <v>0</v>
      </c>
      <c r="B41" s="4" t="str">
        <f>'Huevos y Lacteos'!B13</f>
        <v>Ganador de Peso Gainer (60HC/30Prot)</v>
      </c>
      <c r="C41" s="4">
        <f>'Huevos y Lacteos'!$A13*'Huevos y Lacteos'!C13/100</f>
        <v>0</v>
      </c>
      <c r="D41" s="4">
        <f>'Huevos y Lacteos'!$A13*'Huevos y Lacteos'!D13/100</f>
        <v>0</v>
      </c>
      <c r="E41" s="4">
        <f>'Huevos y Lacteos'!$A13*'Huevos y Lacteos'!E13/100</f>
        <v>0</v>
      </c>
      <c r="F41" s="4">
        <f>'Huevos y Lacteos'!$A13*'Huevos y Lacteos'!F13/100</f>
        <v>0</v>
      </c>
      <c r="G41" s="4">
        <f>'Huevos y Lacteos'!$A13*'Huevos y Lacteos'!G13/100</f>
        <v>0</v>
      </c>
      <c r="H41" s="4">
        <f>'Huevos y Lacteos'!$A13*'Huevos y Lacteos'!H13/100</f>
        <v>0</v>
      </c>
      <c r="I41" s="4">
        <f>'Huevos y Lacteos'!$A13*'Huevos y Lacteos'!I13/100</f>
        <v>0</v>
      </c>
      <c r="J41" s="4">
        <f>'Huevos y Lacteos'!$A13*'Huevos y Lacteos'!J13/100</f>
        <v>0</v>
      </c>
      <c r="K41" s="4">
        <f>'Huevos y Lacteos'!$A13*'Huevos y Lacteos'!K13/100</f>
        <v>0</v>
      </c>
      <c r="L41" s="4">
        <f>'Huevos y Lacteos'!$A13*'Huevos y Lacteos'!L13/100</f>
        <v>0</v>
      </c>
      <c r="M41" s="4">
        <f>'Huevos y Lacteos'!$A13*'Huevos y Lacteos'!M13/100</f>
        <v>0</v>
      </c>
      <c r="N41" s="4">
        <f>'Huevos y Lacteos'!$A13*'Huevos y Lacteos'!N13/100</f>
        <v>0</v>
      </c>
      <c r="O41" s="4">
        <f>'Huevos y Lacteos'!$A13*'Huevos y Lacteos'!O13/100</f>
        <v>0</v>
      </c>
      <c r="P41" s="4">
        <f>'Huevos y Lacteos'!$A13*'Huevos y Lacteos'!P13/100</f>
        <v>0</v>
      </c>
      <c r="Q41" s="4">
        <f>'Huevos y Lacteos'!$A13*'Huevos y Lacteos'!Q13/100</f>
        <v>0</v>
      </c>
      <c r="R41" s="11">
        <f>'Huevos y Lacteos'!$A13*'Huevos y Lacteos'!R13/100</f>
        <v>0</v>
      </c>
      <c r="S41" s="11">
        <f>'Huevos y Lacteos'!$A13*'Huevos y Lacteos'!S13/100</f>
        <v>0</v>
      </c>
      <c r="T41" s="11">
        <f>'Huevos y Lacteos'!$A13*'Huevos y Lacteos'!T13/100</f>
        <v>0</v>
      </c>
      <c r="U41" s="11">
        <f>'Huevos y Lacteos'!$A13*'Huevos y Lacteos'!U13/100</f>
        <v>0</v>
      </c>
    </row>
    <row r="42" spans="1:21" x14ac:dyDescent="0.15">
      <c r="A42" s="10">
        <f>'Huevos y Lacteos'!A14</f>
        <v>0</v>
      </c>
      <c r="B42" s="4">
        <f>'Huevos y Lacteos'!B14</f>
        <v>0</v>
      </c>
      <c r="C42" s="4">
        <f>'Huevos y Lacteos'!$A14*'Huevos y Lacteos'!C14/100</f>
        <v>0</v>
      </c>
      <c r="D42" s="4">
        <f>'Huevos y Lacteos'!$A14*'Huevos y Lacteos'!D14/100</f>
        <v>0</v>
      </c>
      <c r="E42" s="4">
        <f>'Huevos y Lacteos'!$A14*'Huevos y Lacteos'!E14/100</f>
        <v>0</v>
      </c>
      <c r="F42" s="4">
        <f>'Huevos y Lacteos'!$A14*'Huevos y Lacteos'!F14/100</f>
        <v>0</v>
      </c>
      <c r="G42" s="4">
        <f>'Huevos y Lacteos'!$A14*'Huevos y Lacteos'!G14/100</f>
        <v>0</v>
      </c>
      <c r="H42" s="4">
        <f>'Huevos y Lacteos'!$A14*'Huevos y Lacteos'!H14/100</f>
        <v>0</v>
      </c>
      <c r="I42" s="4">
        <f>'Huevos y Lacteos'!$A14*'Huevos y Lacteos'!I14/100</f>
        <v>0</v>
      </c>
      <c r="J42" s="4">
        <f>'Huevos y Lacteos'!$A14*'Huevos y Lacteos'!J14/100</f>
        <v>0</v>
      </c>
      <c r="K42" s="4">
        <f>'Huevos y Lacteos'!$A14*'Huevos y Lacteos'!K14/100</f>
        <v>0</v>
      </c>
      <c r="L42" s="4">
        <f>'Huevos y Lacteos'!$A14*'Huevos y Lacteos'!L14/100</f>
        <v>0</v>
      </c>
      <c r="M42" s="4">
        <f>'Huevos y Lacteos'!$A14*'Huevos y Lacteos'!M14/100</f>
        <v>0</v>
      </c>
      <c r="N42" s="4">
        <f>'Huevos y Lacteos'!$A14*'Huevos y Lacteos'!N14/100</f>
        <v>0</v>
      </c>
      <c r="O42" s="4">
        <f>'Huevos y Lacteos'!$A14*'Huevos y Lacteos'!O14/100</f>
        <v>0</v>
      </c>
      <c r="P42" s="4">
        <f>'Huevos y Lacteos'!$A14*'Huevos y Lacteos'!P14/100</f>
        <v>0</v>
      </c>
      <c r="Q42" s="4">
        <f>'Huevos y Lacteos'!$A14*'Huevos y Lacteos'!Q14/100</f>
        <v>0</v>
      </c>
      <c r="R42" s="11">
        <f>'Huevos y Lacteos'!$A14*'Huevos y Lacteos'!R14/100</f>
        <v>0</v>
      </c>
      <c r="S42" s="11">
        <f>'Huevos y Lacteos'!$A14*'Huevos y Lacteos'!S14/100</f>
        <v>0</v>
      </c>
      <c r="T42" s="11">
        <f>'Huevos y Lacteos'!$A14*'Huevos y Lacteos'!T14/100</f>
        <v>0</v>
      </c>
      <c r="U42" s="11">
        <f>'Huevos y Lacteos'!$A14*'Huevos y Lacteos'!U14/100</f>
        <v>0</v>
      </c>
    </row>
    <row r="43" spans="1:21" x14ac:dyDescent="0.15">
      <c r="A43" s="10"/>
      <c r="B43" s="4"/>
      <c r="C43" s="4"/>
      <c r="D43" s="4"/>
      <c r="E43" s="4"/>
      <c r="F43" s="4"/>
      <c r="G43" s="4"/>
      <c r="H43" s="4"/>
      <c r="I43" s="4"/>
      <c r="J43" s="4"/>
      <c r="K43" s="4"/>
      <c r="L43" s="4"/>
      <c r="M43" s="4"/>
      <c r="N43" s="4"/>
      <c r="O43" s="4"/>
      <c r="P43" s="4"/>
      <c r="Q43" s="4"/>
      <c r="R43" s="11"/>
      <c r="S43" s="11"/>
      <c r="T43" s="11"/>
      <c r="U43" s="11"/>
    </row>
    <row r="44" spans="1:21" x14ac:dyDescent="0.15">
      <c r="A44" s="10"/>
      <c r="B44" s="4"/>
      <c r="C44" s="4"/>
      <c r="D44" s="4"/>
      <c r="E44" s="4"/>
      <c r="F44" s="4"/>
      <c r="G44" s="4"/>
      <c r="H44" s="4"/>
      <c r="I44" s="4"/>
      <c r="J44" s="4"/>
      <c r="K44" s="4"/>
      <c r="L44" s="4"/>
      <c r="M44" s="4"/>
      <c r="N44" s="4"/>
      <c r="O44" s="4"/>
      <c r="P44" s="4"/>
      <c r="Q44" s="4"/>
      <c r="R44" s="11"/>
      <c r="S44" s="11"/>
      <c r="T44" s="11"/>
      <c r="U44" s="11"/>
    </row>
    <row r="45" spans="1:21" x14ac:dyDescent="0.15">
      <c r="A45" s="10"/>
      <c r="B45" s="4"/>
      <c r="C45" s="4"/>
      <c r="D45" s="4"/>
      <c r="E45" s="4"/>
      <c r="F45" s="4"/>
      <c r="G45" s="4"/>
      <c r="H45" s="4"/>
      <c r="I45" s="4"/>
      <c r="J45" s="4"/>
      <c r="K45" s="4"/>
      <c r="L45" s="4"/>
      <c r="M45" s="4"/>
      <c r="N45" s="4"/>
      <c r="O45" s="4"/>
      <c r="P45" s="4"/>
      <c r="Q45" s="4"/>
      <c r="R45" s="11"/>
      <c r="S45" s="11"/>
      <c r="T45" s="11"/>
      <c r="U45" s="11"/>
    </row>
    <row r="46" spans="1:21" x14ac:dyDescent="0.15">
      <c r="A46" s="10">
        <f>'Huevos y Lacteos'!A18</f>
        <v>0</v>
      </c>
      <c r="B46" s="4" t="str">
        <f>'Huevos y Lacteos'!B18</f>
        <v>Leche de Vaca, entera</v>
      </c>
      <c r="C46" s="4">
        <f>'Huevos y Lacteos'!$A18*'Huevos y Lacteos'!C18/100</f>
        <v>0</v>
      </c>
      <c r="D46" s="4">
        <f>'Huevos y Lacteos'!$A18*'Huevos y Lacteos'!D18/100</f>
        <v>0</v>
      </c>
      <c r="E46" s="4">
        <f>'Huevos y Lacteos'!$A18*'Huevos y Lacteos'!E18/100</f>
        <v>0</v>
      </c>
      <c r="F46" s="4">
        <f>'Huevos y Lacteos'!$A18*'Huevos y Lacteos'!F18/100</f>
        <v>0</v>
      </c>
      <c r="G46" s="4">
        <f>'Huevos y Lacteos'!$A18*'Huevos y Lacteos'!G18/100</f>
        <v>0</v>
      </c>
      <c r="H46" s="4">
        <f>'Huevos y Lacteos'!$A18*'Huevos y Lacteos'!H18/100</f>
        <v>0</v>
      </c>
      <c r="I46" s="4">
        <f>'Huevos y Lacteos'!$A18*'Huevos y Lacteos'!I18/100</f>
        <v>0</v>
      </c>
      <c r="J46" s="4">
        <f>'Huevos y Lacteos'!$A18*'Huevos y Lacteos'!J18/100</f>
        <v>0</v>
      </c>
      <c r="K46" s="4">
        <f>'Huevos y Lacteos'!$A18*'Huevos y Lacteos'!K18/100</f>
        <v>0</v>
      </c>
      <c r="L46" s="4">
        <f>'Huevos y Lacteos'!$A18*'Huevos y Lacteos'!L18/100</f>
        <v>0</v>
      </c>
      <c r="M46" s="4">
        <f>'Huevos y Lacteos'!$A18*'Huevos y Lacteos'!M18/100</f>
        <v>0</v>
      </c>
      <c r="N46" s="4">
        <f>'Huevos y Lacteos'!$A18*'Huevos y Lacteos'!N18/100</f>
        <v>0</v>
      </c>
      <c r="O46" s="4">
        <f>'Huevos y Lacteos'!$A18*'Huevos y Lacteos'!O18/100</f>
        <v>0</v>
      </c>
      <c r="P46" s="4">
        <f>'Huevos y Lacteos'!$A18*'Huevos y Lacteos'!P18/100</f>
        <v>0</v>
      </c>
      <c r="Q46" s="4">
        <f>'Huevos y Lacteos'!$A18*'Huevos y Lacteos'!Q18/100</f>
        <v>0</v>
      </c>
      <c r="R46" s="11">
        <f>'Huevos y Lacteos'!$A18*'Huevos y Lacteos'!R18/100</f>
        <v>0</v>
      </c>
      <c r="S46" s="11">
        <f>'Huevos y Lacteos'!$A18*'Huevos y Lacteos'!S18/100</f>
        <v>0</v>
      </c>
      <c r="T46" s="11">
        <f>'Huevos y Lacteos'!$A18*'Huevos y Lacteos'!T18/100</f>
        <v>0</v>
      </c>
      <c r="U46" s="11">
        <f>'Huevos y Lacteos'!$A18*'Huevos y Lacteos'!U18/100</f>
        <v>0</v>
      </c>
    </row>
    <row r="47" spans="1:21" x14ac:dyDescent="0.15">
      <c r="A47" s="10">
        <f>'Huevos y Lacteos'!A19</f>
        <v>0</v>
      </c>
      <c r="B47" s="4" t="str">
        <f>'Huevos y Lacteos'!B19</f>
        <v>Leche vaca semidesnatada</v>
      </c>
      <c r="C47" s="4">
        <f>'Huevos y Lacteos'!$A19*'Huevos y Lacteos'!C19/100</f>
        <v>0</v>
      </c>
      <c r="D47" s="4">
        <f>'Huevos y Lacteos'!$A19*'Huevos y Lacteos'!D19/100</f>
        <v>0</v>
      </c>
      <c r="E47" s="4">
        <f>'Huevos y Lacteos'!$A19*'Huevos y Lacteos'!E19/100</f>
        <v>0</v>
      </c>
      <c r="F47" s="4">
        <f>'Huevos y Lacteos'!$A19*'Huevos y Lacteos'!F19/100</f>
        <v>0</v>
      </c>
      <c r="G47" s="4">
        <f>'Huevos y Lacteos'!$A19*'Huevos y Lacteos'!G19/100</f>
        <v>0</v>
      </c>
      <c r="H47" s="4">
        <f>'Huevos y Lacteos'!$A19*'Huevos y Lacteos'!H19/100</f>
        <v>0</v>
      </c>
      <c r="I47" s="4">
        <f>'Huevos y Lacteos'!$A19*'Huevos y Lacteos'!I19/100</f>
        <v>0</v>
      </c>
      <c r="J47" s="4">
        <f>'Huevos y Lacteos'!$A19*'Huevos y Lacteos'!J19/100</f>
        <v>0</v>
      </c>
      <c r="K47" s="4">
        <f>'Huevos y Lacteos'!$A19*'Huevos y Lacteos'!K19/100</f>
        <v>0</v>
      </c>
      <c r="L47" s="4">
        <f>'Huevos y Lacteos'!$A19*'Huevos y Lacteos'!L19/100</f>
        <v>0</v>
      </c>
      <c r="M47" s="4">
        <f>'Huevos y Lacteos'!$A19*'Huevos y Lacteos'!M19/100</f>
        <v>0</v>
      </c>
      <c r="N47" s="4">
        <f>'Huevos y Lacteos'!$A19*'Huevos y Lacteos'!N19/100</f>
        <v>0</v>
      </c>
      <c r="O47" s="4">
        <f>'Huevos y Lacteos'!$A19*'Huevos y Lacteos'!O19/100</f>
        <v>0</v>
      </c>
      <c r="P47" s="4">
        <f>'Huevos y Lacteos'!$A19*'Huevos y Lacteos'!P19/100</f>
        <v>0</v>
      </c>
      <c r="Q47" s="4">
        <f>'Huevos y Lacteos'!$A19*'Huevos y Lacteos'!Q19/100</f>
        <v>0</v>
      </c>
      <c r="R47" s="11">
        <f>'Huevos y Lacteos'!$A19*'Huevos y Lacteos'!R19/100</f>
        <v>0</v>
      </c>
      <c r="S47" s="11">
        <f>'Huevos y Lacteos'!$A19*'Huevos y Lacteos'!S19/100</f>
        <v>0</v>
      </c>
      <c r="T47" s="11">
        <f>'Huevos y Lacteos'!$A19*'Huevos y Lacteos'!T19/100</f>
        <v>0</v>
      </c>
      <c r="U47" s="11">
        <f>'Huevos y Lacteos'!$A19*'Huevos y Lacteos'!U19/100</f>
        <v>0</v>
      </c>
    </row>
    <row r="48" spans="1:21" x14ac:dyDescent="0.15">
      <c r="A48" s="10">
        <f>'Huevos y Lacteos'!A20</f>
        <v>0</v>
      </c>
      <c r="B48" s="4" t="str">
        <f>'Huevos y Lacteos'!B20</f>
        <v>Leche de Vaca, desnatada</v>
      </c>
      <c r="C48" s="4">
        <f>'Huevos y Lacteos'!$A20*'Huevos y Lacteos'!C20/100</f>
        <v>0</v>
      </c>
      <c r="D48" s="4">
        <f>'Huevos y Lacteos'!$A20*'Huevos y Lacteos'!D20/100</f>
        <v>0</v>
      </c>
      <c r="E48" s="4">
        <f>'Huevos y Lacteos'!$A20*'Huevos y Lacteos'!E20/100</f>
        <v>0</v>
      </c>
      <c r="F48" s="4">
        <f>'Huevos y Lacteos'!$A20*'Huevos y Lacteos'!F20/100</f>
        <v>0</v>
      </c>
      <c r="G48" s="4">
        <f>'Huevos y Lacteos'!$A20*'Huevos y Lacteos'!G20/100</f>
        <v>0</v>
      </c>
      <c r="H48" s="4">
        <f>'Huevos y Lacteos'!$A20*'Huevos y Lacteos'!H20/100</f>
        <v>0</v>
      </c>
      <c r="I48" s="4">
        <f>'Huevos y Lacteos'!$A20*'Huevos y Lacteos'!I20/100</f>
        <v>0</v>
      </c>
      <c r="J48" s="4">
        <f>'Huevos y Lacteos'!$A20*'Huevos y Lacteos'!J20/100</f>
        <v>0</v>
      </c>
      <c r="K48" s="4">
        <f>'Huevos y Lacteos'!$A20*'Huevos y Lacteos'!K20/100</f>
        <v>0</v>
      </c>
      <c r="L48" s="4">
        <f>'Huevos y Lacteos'!$A20*'Huevos y Lacteos'!L20/100</f>
        <v>0</v>
      </c>
      <c r="M48" s="4">
        <f>'Huevos y Lacteos'!$A20*'Huevos y Lacteos'!M20/100</f>
        <v>0</v>
      </c>
      <c r="N48" s="4">
        <f>'Huevos y Lacteos'!$A20*'Huevos y Lacteos'!N20/100</f>
        <v>0</v>
      </c>
      <c r="O48" s="4">
        <f>'Huevos y Lacteos'!$A20*'Huevos y Lacteos'!O20/100</f>
        <v>0</v>
      </c>
      <c r="P48" s="4">
        <f>'Huevos y Lacteos'!$A20*'Huevos y Lacteos'!P20/100</f>
        <v>0</v>
      </c>
      <c r="Q48" s="4">
        <f>'Huevos y Lacteos'!$A20*'Huevos y Lacteos'!Q20/100</f>
        <v>0</v>
      </c>
      <c r="R48" s="11">
        <f>'Huevos y Lacteos'!$A20*'Huevos y Lacteos'!R20/100</f>
        <v>0</v>
      </c>
      <c r="S48" s="11">
        <f>'Huevos y Lacteos'!$A20*'Huevos y Lacteos'!S20/100</f>
        <v>0</v>
      </c>
      <c r="T48" s="11">
        <f>'Huevos y Lacteos'!$A20*'Huevos y Lacteos'!T20/100</f>
        <v>0</v>
      </c>
      <c r="U48" s="11">
        <f>'Huevos y Lacteos'!$A20*'Huevos y Lacteos'!U20/100</f>
        <v>0</v>
      </c>
    </row>
    <row r="49" spans="1:21" x14ac:dyDescent="0.15">
      <c r="A49" s="10">
        <f>'Huevos y Lacteos'!A21</f>
        <v>0</v>
      </c>
      <c r="B49" s="4" t="str">
        <f>'Huevos y Lacteos'!B21</f>
        <v>Leche de Soja</v>
      </c>
      <c r="C49" s="4">
        <f>'Huevos y Lacteos'!$A21*'Huevos y Lacteos'!C21/100</f>
        <v>0</v>
      </c>
      <c r="D49" s="4">
        <f>'Huevos y Lacteos'!$A21*'Huevos y Lacteos'!D21/100</f>
        <v>0</v>
      </c>
      <c r="E49" s="4">
        <f>'Huevos y Lacteos'!$A21*'Huevos y Lacteos'!E21/100</f>
        <v>0</v>
      </c>
      <c r="F49" s="4">
        <f>'Huevos y Lacteos'!$A21*'Huevos y Lacteos'!F21/100</f>
        <v>0</v>
      </c>
      <c r="G49" s="4">
        <f>'Huevos y Lacteos'!$A21*'Huevos y Lacteos'!G21/100</f>
        <v>0</v>
      </c>
      <c r="H49" s="4">
        <f>'Huevos y Lacteos'!$A21*'Huevos y Lacteos'!H21/100</f>
        <v>0</v>
      </c>
      <c r="I49" s="4">
        <f>'Huevos y Lacteos'!$A21*'Huevos y Lacteos'!I21/100</f>
        <v>0</v>
      </c>
      <c r="J49" s="4">
        <f>'Huevos y Lacteos'!$A21*'Huevos y Lacteos'!J21/100</f>
        <v>0</v>
      </c>
      <c r="K49" s="4">
        <f>'Huevos y Lacteos'!$A21*'Huevos y Lacteos'!K21/100</f>
        <v>0</v>
      </c>
      <c r="L49" s="4">
        <f>'Huevos y Lacteos'!$A21*'Huevos y Lacteos'!L21/100</f>
        <v>0</v>
      </c>
      <c r="M49" s="4">
        <f>'Huevos y Lacteos'!$A21*'Huevos y Lacteos'!M21/100</f>
        <v>0</v>
      </c>
      <c r="N49" s="4">
        <f>'Huevos y Lacteos'!$A21*'Huevos y Lacteos'!N21/100</f>
        <v>0</v>
      </c>
      <c r="O49" s="4">
        <f>'Huevos y Lacteos'!$A21*'Huevos y Lacteos'!O21/100</f>
        <v>0</v>
      </c>
      <c r="P49" s="4">
        <f>'Huevos y Lacteos'!$A21*'Huevos y Lacteos'!P21/100</f>
        <v>0</v>
      </c>
      <c r="Q49" s="4">
        <f>'Huevos y Lacteos'!$A21*'Huevos y Lacteos'!Q21/100</f>
        <v>0</v>
      </c>
      <c r="R49" s="11">
        <f>'Huevos y Lacteos'!$A21*'Huevos y Lacteos'!R21/100</f>
        <v>0</v>
      </c>
      <c r="S49" s="11">
        <f>'Huevos y Lacteos'!$A21*'Huevos y Lacteos'!S21/100</f>
        <v>0</v>
      </c>
      <c r="T49" s="11">
        <f>'Huevos y Lacteos'!$A21*'Huevos y Lacteos'!T21/100</f>
        <v>0</v>
      </c>
      <c r="U49" s="11">
        <f>'Huevos y Lacteos'!$A21*'Huevos y Lacteos'!U21/100</f>
        <v>0</v>
      </c>
    </row>
    <row r="50" spans="1:21" x14ac:dyDescent="0.15">
      <c r="A50" s="10">
        <f>'Huevos y Lacteos'!A22</f>
        <v>0</v>
      </c>
      <c r="B50" s="4" t="str">
        <f>'Huevos y Lacteos'!B22</f>
        <v>Yogur</v>
      </c>
      <c r="C50" s="4">
        <f>'Huevos y Lacteos'!$A22*'Huevos y Lacteos'!C22/100</f>
        <v>0</v>
      </c>
      <c r="D50" s="4">
        <f>'Huevos y Lacteos'!$A22*'Huevos y Lacteos'!D22/100</f>
        <v>0</v>
      </c>
      <c r="E50" s="4">
        <f>'Huevos y Lacteos'!$A22*'Huevos y Lacteos'!E22/100</f>
        <v>0</v>
      </c>
      <c r="F50" s="4">
        <f>'Huevos y Lacteos'!$A22*'Huevos y Lacteos'!F22/100</f>
        <v>0</v>
      </c>
      <c r="G50" s="4">
        <f>'Huevos y Lacteos'!$A22*'Huevos y Lacteos'!G22/100</f>
        <v>0</v>
      </c>
      <c r="H50" s="4">
        <f>'Huevos y Lacteos'!$A22*'Huevos y Lacteos'!H22/100</f>
        <v>0</v>
      </c>
      <c r="I50" s="4">
        <f>'Huevos y Lacteos'!$A22*'Huevos y Lacteos'!I22/100</f>
        <v>0</v>
      </c>
      <c r="J50" s="4">
        <f>'Huevos y Lacteos'!$A22*'Huevos y Lacteos'!J22/100</f>
        <v>0</v>
      </c>
      <c r="K50" s="4">
        <f>'Huevos y Lacteos'!$A22*'Huevos y Lacteos'!K22/100</f>
        <v>0</v>
      </c>
      <c r="L50" s="4">
        <f>'Huevos y Lacteos'!$A22*'Huevos y Lacteos'!L22/100</f>
        <v>0</v>
      </c>
      <c r="M50" s="4">
        <f>'Huevos y Lacteos'!$A22*'Huevos y Lacteos'!M22/100</f>
        <v>0</v>
      </c>
      <c r="N50" s="4">
        <f>'Huevos y Lacteos'!$A22*'Huevos y Lacteos'!N22/100</f>
        <v>0</v>
      </c>
      <c r="O50" s="4">
        <f>'Huevos y Lacteos'!$A22*'Huevos y Lacteos'!O22/100</f>
        <v>0</v>
      </c>
      <c r="P50" s="4">
        <f>'Huevos y Lacteos'!$A22*'Huevos y Lacteos'!P22/100</f>
        <v>0</v>
      </c>
      <c r="Q50" s="4">
        <f>'Huevos y Lacteos'!$A22*'Huevos y Lacteos'!Q22/100</f>
        <v>0</v>
      </c>
      <c r="R50" s="11">
        <f>'Huevos y Lacteos'!$A22*'Huevos y Lacteos'!R22/100</f>
        <v>0</v>
      </c>
      <c r="S50" s="11">
        <f>'Huevos y Lacteos'!$A22*'Huevos y Lacteos'!S22/100</f>
        <v>0</v>
      </c>
      <c r="T50" s="11">
        <f>'Huevos y Lacteos'!$A22*'Huevos y Lacteos'!T22/100</f>
        <v>0</v>
      </c>
      <c r="U50" s="11">
        <f>'Huevos y Lacteos'!$A22*'Huevos y Lacteos'!U22/100</f>
        <v>0</v>
      </c>
    </row>
    <row r="51" spans="1:21" x14ac:dyDescent="0.15">
      <c r="A51" s="10">
        <f>'Huevos y Lacteos'!A23</f>
        <v>0</v>
      </c>
      <c r="B51" s="4" t="str">
        <f>'Huevos y Lacteos'!B23</f>
        <v>Yogur Griego</v>
      </c>
      <c r="C51" s="4">
        <f>'Huevos y Lacteos'!$A23*'Huevos y Lacteos'!C23/100</f>
        <v>0</v>
      </c>
      <c r="D51" s="4">
        <f>'Huevos y Lacteos'!$A23*'Huevos y Lacteos'!D23/100</f>
        <v>0</v>
      </c>
      <c r="E51" s="4">
        <f>'Huevos y Lacteos'!$A23*'Huevos y Lacteos'!E23/100</f>
        <v>0</v>
      </c>
      <c r="F51" s="4">
        <f>'Huevos y Lacteos'!$A23*'Huevos y Lacteos'!F23/100</f>
        <v>0</v>
      </c>
      <c r="G51" s="4">
        <f>'Huevos y Lacteos'!$A23*'Huevos y Lacteos'!G23/100</f>
        <v>0</v>
      </c>
      <c r="H51" s="4">
        <f>'Huevos y Lacteos'!$A23*'Huevos y Lacteos'!H23/100</f>
        <v>0</v>
      </c>
      <c r="I51" s="4">
        <f>'Huevos y Lacteos'!$A23*'Huevos y Lacteos'!I23/100</f>
        <v>0</v>
      </c>
      <c r="J51" s="4">
        <f>'Huevos y Lacteos'!$A23*'Huevos y Lacteos'!J23/100</f>
        <v>0</v>
      </c>
      <c r="K51" s="4">
        <f>'Huevos y Lacteos'!$A23*'Huevos y Lacteos'!K23/100</f>
        <v>0</v>
      </c>
      <c r="L51" s="4">
        <f>'Huevos y Lacteos'!$A23*'Huevos y Lacteos'!L23/100</f>
        <v>0</v>
      </c>
      <c r="M51" s="4">
        <f>'Huevos y Lacteos'!$A23*'Huevos y Lacteos'!M23/100</f>
        <v>0</v>
      </c>
      <c r="N51" s="4">
        <f>'Huevos y Lacteos'!$A23*'Huevos y Lacteos'!N23/100</f>
        <v>0</v>
      </c>
      <c r="O51" s="4">
        <f>'Huevos y Lacteos'!$A23*'Huevos y Lacteos'!O23/100</f>
        <v>0</v>
      </c>
      <c r="P51" s="4">
        <f>'Huevos y Lacteos'!$A23*'Huevos y Lacteos'!P23/100</f>
        <v>0</v>
      </c>
      <c r="Q51" s="4">
        <f>'Huevos y Lacteos'!$A23*'Huevos y Lacteos'!Q23/100</f>
        <v>0</v>
      </c>
      <c r="R51" s="11">
        <f>'Huevos y Lacteos'!$A23*'Huevos y Lacteos'!R23/100</f>
        <v>0</v>
      </c>
      <c r="S51" s="11">
        <f>'Huevos y Lacteos'!$A23*'Huevos y Lacteos'!S23/100</f>
        <v>0</v>
      </c>
      <c r="T51" s="11">
        <f>'Huevos y Lacteos'!$A23*'Huevos y Lacteos'!T23/100</f>
        <v>0</v>
      </c>
      <c r="U51" s="11">
        <f>'Huevos y Lacteos'!$A23*'Huevos y Lacteos'!U23/100</f>
        <v>0</v>
      </c>
    </row>
    <row r="52" spans="1:21" x14ac:dyDescent="0.15">
      <c r="A52" s="10">
        <f>'Huevos y Lacteos'!A24</f>
        <v>0</v>
      </c>
      <c r="B52" s="4" t="str">
        <f>'Huevos y Lacteos'!B24</f>
        <v>Queso Fresco</v>
      </c>
      <c r="C52" s="4">
        <f>'Huevos y Lacteos'!$A24*'Huevos y Lacteos'!C24/100</f>
        <v>0</v>
      </c>
      <c r="D52" s="4">
        <f>'Huevos y Lacteos'!$A24*'Huevos y Lacteos'!D24/100</f>
        <v>0</v>
      </c>
      <c r="E52" s="4">
        <f>'Huevos y Lacteos'!$A24*'Huevos y Lacteos'!E24/100</f>
        <v>0</v>
      </c>
      <c r="F52" s="4">
        <f>'Huevos y Lacteos'!$A24*'Huevos y Lacteos'!F24/100</f>
        <v>0</v>
      </c>
      <c r="G52" s="4">
        <f>'Huevos y Lacteos'!$A24*'Huevos y Lacteos'!G24/100</f>
        <v>0</v>
      </c>
      <c r="H52" s="4">
        <f>'Huevos y Lacteos'!$A24*'Huevos y Lacteos'!H24/100</f>
        <v>0</v>
      </c>
      <c r="I52" s="4">
        <f>'Huevos y Lacteos'!$A24*'Huevos y Lacteos'!I24/100</f>
        <v>0</v>
      </c>
      <c r="J52" s="4">
        <f>'Huevos y Lacteos'!$A24*'Huevos y Lacteos'!J24/100</f>
        <v>0</v>
      </c>
      <c r="K52" s="4">
        <f>'Huevos y Lacteos'!$A24*'Huevos y Lacteos'!K24/100</f>
        <v>0</v>
      </c>
      <c r="L52" s="4">
        <f>'Huevos y Lacteos'!$A24*'Huevos y Lacteos'!L24/100</f>
        <v>0</v>
      </c>
      <c r="M52" s="4">
        <f>'Huevos y Lacteos'!$A24*'Huevos y Lacteos'!M24/100</f>
        <v>0</v>
      </c>
      <c r="N52" s="4">
        <f>'Huevos y Lacteos'!$A24*'Huevos y Lacteos'!N24/100</f>
        <v>0</v>
      </c>
      <c r="O52" s="4">
        <f>'Huevos y Lacteos'!$A24*'Huevos y Lacteos'!O24/100</f>
        <v>0</v>
      </c>
      <c r="P52" s="4">
        <f>'Huevos y Lacteos'!$A24*'Huevos y Lacteos'!P24/100</f>
        <v>0</v>
      </c>
      <c r="Q52" s="4">
        <f>'Huevos y Lacteos'!$A24*'Huevos y Lacteos'!Q24/100</f>
        <v>0</v>
      </c>
      <c r="R52" s="11">
        <f>'Huevos y Lacteos'!$A24*'Huevos y Lacteos'!R24/100</f>
        <v>0</v>
      </c>
      <c r="S52" s="11">
        <f>'Huevos y Lacteos'!$A24*'Huevos y Lacteos'!S24/100</f>
        <v>0</v>
      </c>
      <c r="T52" s="11">
        <f>'Huevos y Lacteos'!$A24*'Huevos y Lacteos'!T24/100</f>
        <v>0</v>
      </c>
      <c r="U52" s="11">
        <f>'Huevos y Lacteos'!$A24*'Huevos y Lacteos'!U24/100</f>
        <v>0</v>
      </c>
    </row>
    <row r="53" spans="1:21" x14ac:dyDescent="0.15">
      <c r="A53" s="10">
        <f>'Huevos y Lacteos'!A25</f>
        <v>0</v>
      </c>
      <c r="B53" s="4" t="str">
        <f>'Huevos y Lacteos'!B25</f>
        <v>Queso Semi</v>
      </c>
      <c r="C53" s="4">
        <f>'Huevos y Lacteos'!$A25*'Huevos y Lacteos'!C25/100</f>
        <v>0</v>
      </c>
      <c r="D53" s="4">
        <f>'Huevos y Lacteos'!$A25*'Huevos y Lacteos'!D25/100</f>
        <v>0</v>
      </c>
      <c r="E53" s="4">
        <f>'Huevos y Lacteos'!$A25*'Huevos y Lacteos'!E25/100</f>
        <v>0</v>
      </c>
      <c r="F53" s="4">
        <f>'Huevos y Lacteos'!$A25*'Huevos y Lacteos'!F25/100</f>
        <v>0</v>
      </c>
      <c r="G53" s="4">
        <f>'Huevos y Lacteos'!$A25*'Huevos y Lacteos'!G25/100</f>
        <v>0</v>
      </c>
      <c r="H53" s="4">
        <f>'Huevos y Lacteos'!$A25*'Huevos y Lacteos'!H25/100</f>
        <v>0</v>
      </c>
      <c r="I53" s="4">
        <f>'Huevos y Lacteos'!$A25*'Huevos y Lacteos'!I25/100</f>
        <v>0</v>
      </c>
      <c r="J53" s="4">
        <f>'Huevos y Lacteos'!$A25*'Huevos y Lacteos'!J25/100</f>
        <v>0</v>
      </c>
      <c r="K53" s="4">
        <f>'Huevos y Lacteos'!$A25*'Huevos y Lacteos'!K25/100</f>
        <v>0</v>
      </c>
      <c r="L53" s="4">
        <f>'Huevos y Lacteos'!$A25*'Huevos y Lacteos'!L25/100</f>
        <v>0</v>
      </c>
      <c r="M53" s="4">
        <f>'Huevos y Lacteos'!$A25*'Huevos y Lacteos'!M25/100</f>
        <v>0</v>
      </c>
      <c r="N53" s="4">
        <f>'Huevos y Lacteos'!$A25*'Huevos y Lacteos'!N25/100</f>
        <v>0</v>
      </c>
      <c r="O53" s="4">
        <f>'Huevos y Lacteos'!$A25*'Huevos y Lacteos'!O25/100</f>
        <v>0</v>
      </c>
      <c r="P53" s="4">
        <f>'Huevos y Lacteos'!$A25*'Huevos y Lacteos'!P25/100</f>
        <v>0</v>
      </c>
      <c r="Q53" s="4">
        <f>'Huevos y Lacteos'!$A25*'Huevos y Lacteos'!Q25/100</f>
        <v>0</v>
      </c>
      <c r="R53" s="11">
        <f>'Huevos y Lacteos'!$A25*'Huevos y Lacteos'!R25/100</f>
        <v>0</v>
      </c>
      <c r="S53" s="11">
        <f>'Huevos y Lacteos'!$A25*'Huevos y Lacteos'!S25/100</f>
        <v>0</v>
      </c>
      <c r="T53" s="11">
        <f>'Huevos y Lacteos'!$A25*'Huevos y Lacteos'!T25/100</f>
        <v>0</v>
      </c>
      <c r="U53" s="11">
        <f>'Huevos y Lacteos'!$A25*'Huevos y Lacteos'!U25/100</f>
        <v>0</v>
      </c>
    </row>
    <row r="54" spans="1:21" x14ac:dyDescent="0.15">
      <c r="A54" s="10">
        <f>'Huevos y Lacteos'!A26</f>
        <v>0</v>
      </c>
      <c r="B54" s="4" t="str">
        <f>'Huevos y Lacteos'!B26</f>
        <v>Queso Curado</v>
      </c>
      <c r="C54" s="4">
        <f>'Huevos y Lacteos'!$A26*'Huevos y Lacteos'!C26/100</f>
        <v>0</v>
      </c>
      <c r="D54" s="4">
        <f>'Huevos y Lacteos'!$A26*'Huevos y Lacteos'!D26/100</f>
        <v>0</v>
      </c>
      <c r="E54" s="4">
        <f>'Huevos y Lacteos'!$A26*'Huevos y Lacteos'!E26/100</f>
        <v>0</v>
      </c>
      <c r="F54" s="4">
        <f>'Huevos y Lacteos'!$A26*'Huevos y Lacteos'!F26/100</f>
        <v>0</v>
      </c>
      <c r="G54" s="4">
        <f>'Huevos y Lacteos'!$A26*'Huevos y Lacteos'!G26/100</f>
        <v>0</v>
      </c>
      <c r="H54" s="4">
        <f>'Huevos y Lacteos'!$A26*'Huevos y Lacteos'!H26/100</f>
        <v>0</v>
      </c>
      <c r="I54" s="4">
        <f>'Huevos y Lacteos'!$A26*'Huevos y Lacteos'!I26/100</f>
        <v>0</v>
      </c>
      <c r="J54" s="4">
        <f>'Huevos y Lacteos'!$A26*'Huevos y Lacteos'!J26/100</f>
        <v>0</v>
      </c>
      <c r="K54" s="4">
        <f>'Huevos y Lacteos'!$A26*'Huevos y Lacteos'!K26/100</f>
        <v>0</v>
      </c>
      <c r="L54" s="4">
        <f>'Huevos y Lacteos'!$A26*'Huevos y Lacteos'!L26/100</f>
        <v>0</v>
      </c>
      <c r="M54" s="4">
        <f>'Huevos y Lacteos'!$A26*'Huevos y Lacteos'!M26/100</f>
        <v>0</v>
      </c>
      <c r="N54" s="4">
        <f>'Huevos y Lacteos'!$A26*'Huevos y Lacteos'!N26/100</f>
        <v>0</v>
      </c>
      <c r="O54" s="4">
        <f>'Huevos y Lacteos'!$A26*'Huevos y Lacteos'!O26/100</f>
        <v>0</v>
      </c>
      <c r="P54" s="4">
        <f>'Huevos y Lacteos'!$A26*'Huevos y Lacteos'!P26/100</f>
        <v>0</v>
      </c>
      <c r="Q54" s="4">
        <f>'Huevos y Lacteos'!$A26*'Huevos y Lacteos'!Q26/100</f>
        <v>0</v>
      </c>
      <c r="R54" s="11">
        <f>'Huevos y Lacteos'!$A26*'Huevos y Lacteos'!R26/100</f>
        <v>0</v>
      </c>
      <c r="S54" s="11">
        <f>'Huevos y Lacteos'!$A26*'Huevos y Lacteos'!S26/100</f>
        <v>0</v>
      </c>
      <c r="T54" s="11">
        <f>'Huevos y Lacteos'!$A26*'Huevos y Lacteos'!T26/100</f>
        <v>0</v>
      </c>
      <c r="U54" s="11">
        <f>'Huevos y Lacteos'!$A26*'Huevos y Lacteos'!U26/100</f>
        <v>0</v>
      </c>
    </row>
    <row r="55" spans="1:21" x14ac:dyDescent="0.15">
      <c r="A55" s="10">
        <f>'Huevos y Lacteos'!A27</f>
        <v>0</v>
      </c>
      <c r="B55" s="4" t="str">
        <f>'Huevos y Lacteos'!B27</f>
        <v>Queso para Fundir</v>
      </c>
      <c r="C55" s="4">
        <f>'Huevos y Lacteos'!$A27*'Huevos y Lacteos'!C27/100</f>
        <v>0</v>
      </c>
      <c r="D55" s="4">
        <f>'Huevos y Lacteos'!$A27*'Huevos y Lacteos'!D27/100</f>
        <v>0</v>
      </c>
      <c r="E55" s="4">
        <f>'Huevos y Lacteos'!$A27*'Huevos y Lacteos'!E27/100</f>
        <v>0</v>
      </c>
      <c r="F55" s="4">
        <f>'Huevos y Lacteos'!$A27*'Huevos y Lacteos'!F27/100</f>
        <v>0</v>
      </c>
      <c r="G55" s="4">
        <f>'Huevos y Lacteos'!$A27*'Huevos y Lacteos'!G27/100</f>
        <v>0</v>
      </c>
      <c r="H55" s="4">
        <f>'Huevos y Lacteos'!$A27*'Huevos y Lacteos'!H27/100</f>
        <v>0</v>
      </c>
      <c r="I55" s="4">
        <f>'Huevos y Lacteos'!$A27*'Huevos y Lacteos'!I27/100</f>
        <v>0</v>
      </c>
      <c r="J55" s="4">
        <f>'Huevos y Lacteos'!$A27*'Huevos y Lacteos'!J27/100</f>
        <v>0</v>
      </c>
      <c r="K55" s="4">
        <f>'Huevos y Lacteos'!$A27*'Huevos y Lacteos'!K27/100</f>
        <v>0</v>
      </c>
      <c r="L55" s="4">
        <f>'Huevos y Lacteos'!$A27*'Huevos y Lacteos'!L27/100</f>
        <v>0</v>
      </c>
      <c r="M55" s="4">
        <f>'Huevos y Lacteos'!$A27*'Huevos y Lacteos'!M27/100</f>
        <v>0</v>
      </c>
      <c r="N55" s="4">
        <f>'Huevos y Lacteos'!$A27*'Huevos y Lacteos'!N27/100</f>
        <v>0</v>
      </c>
      <c r="O55" s="4">
        <f>'Huevos y Lacteos'!$A27*'Huevos y Lacteos'!O27/100</f>
        <v>0</v>
      </c>
      <c r="P55" s="4">
        <f>'Huevos y Lacteos'!$A27*'Huevos y Lacteos'!P27/100</f>
        <v>0</v>
      </c>
      <c r="Q55" s="4">
        <f>'Huevos y Lacteos'!$A27*'Huevos y Lacteos'!Q27/100</f>
        <v>0</v>
      </c>
      <c r="R55" s="11">
        <f>'Huevos y Lacteos'!$A27*'Huevos y Lacteos'!R27/100</f>
        <v>0</v>
      </c>
      <c r="S55" s="11">
        <f>'Huevos y Lacteos'!$A27*'Huevos y Lacteos'!S27/100</f>
        <v>0</v>
      </c>
      <c r="T55" s="11">
        <f>'Huevos y Lacteos'!$A27*'Huevos y Lacteos'!T27/100</f>
        <v>0</v>
      </c>
      <c r="U55" s="11">
        <f>'Huevos y Lacteos'!$A27*'Huevos y Lacteos'!U27/100</f>
        <v>0</v>
      </c>
    </row>
    <row r="56" spans="1:21" x14ac:dyDescent="0.15">
      <c r="A56" s="10">
        <f>'Huevos y Lacteos'!A28</f>
        <v>0</v>
      </c>
      <c r="B56" s="4" t="str">
        <f>'Huevos y Lacteos'!B28</f>
        <v>Yogur Liquido, desnatado</v>
      </c>
      <c r="C56" s="4">
        <f>'Huevos y Lacteos'!$A28*'Huevos y Lacteos'!C28/100</f>
        <v>0</v>
      </c>
      <c r="D56" s="4">
        <f>'Huevos y Lacteos'!$A28*'Huevos y Lacteos'!D28/100</f>
        <v>0</v>
      </c>
      <c r="E56" s="4">
        <f>'Huevos y Lacteos'!$A28*'Huevos y Lacteos'!E28/100</f>
        <v>0</v>
      </c>
      <c r="F56" s="4">
        <f>'Huevos y Lacteos'!$A28*'Huevos y Lacteos'!F28/100</f>
        <v>0</v>
      </c>
      <c r="G56" s="4">
        <f>'Huevos y Lacteos'!$A28*'Huevos y Lacteos'!G28/100</f>
        <v>0</v>
      </c>
      <c r="H56" s="4">
        <f>'Huevos y Lacteos'!$A28*'Huevos y Lacteos'!H28/100</f>
        <v>0</v>
      </c>
      <c r="I56" s="4">
        <f>'Huevos y Lacteos'!$A28*'Huevos y Lacteos'!I28/100</f>
        <v>0</v>
      </c>
      <c r="J56" s="4">
        <f>'Huevos y Lacteos'!$A28*'Huevos y Lacteos'!J28/100</f>
        <v>0</v>
      </c>
      <c r="K56" s="4">
        <f>'Huevos y Lacteos'!$A28*'Huevos y Lacteos'!K28/100</f>
        <v>0</v>
      </c>
      <c r="L56" s="4">
        <f>'Huevos y Lacteos'!$A28*'Huevos y Lacteos'!L28/100</f>
        <v>0</v>
      </c>
      <c r="M56" s="4">
        <f>'Huevos y Lacteos'!$A28*'Huevos y Lacteos'!M28/100</f>
        <v>0</v>
      </c>
      <c r="N56" s="4">
        <f>'Huevos y Lacteos'!$A28*'Huevos y Lacteos'!N28/100</f>
        <v>0</v>
      </c>
      <c r="O56" s="4">
        <f>'Huevos y Lacteos'!$A28*'Huevos y Lacteos'!O28/100</f>
        <v>0</v>
      </c>
      <c r="P56" s="4">
        <f>'Huevos y Lacteos'!$A28*'Huevos y Lacteos'!P28/100</f>
        <v>0</v>
      </c>
      <c r="Q56" s="4">
        <f>'Huevos y Lacteos'!$A28*'Huevos y Lacteos'!Q28/100</f>
        <v>0</v>
      </c>
      <c r="R56" s="11">
        <f>'Huevos y Lacteos'!$A28*'Huevos y Lacteos'!R28/100</f>
        <v>0</v>
      </c>
      <c r="S56" s="11">
        <f>'Huevos y Lacteos'!$A28*'Huevos y Lacteos'!S28/100</f>
        <v>0</v>
      </c>
      <c r="T56" s="11">
        <f>'Huevos y Lacteos'!$A28*'Huevos y Lacteos'!T28/100</f>
        <v>0</v>
      </c>
      <c r="U56" s="11">
        <f>'Huevos y Lacteos'!$A28*'Huevos y Lacteos'!U28/100</f>
        <v>0</v>
      </c>
    </row>
    <row r="57" spans="1:21" x14ac:dyDescent="0.15">
      <c r="A57" s="10">
        <f>'Huevos y Lacteos'!A29</f>
        <v>0</v>
      </c>
      <c r="B57" s="4" t="str">
        <f>'Huevos y Lacteos'!B29</f>
        <v>Helado Cremoso</v>
      </c>
      <c r="C57" s="4">
        <f>'Huevos y Lacteos'!$A29*'Huevos y Lacteos'!C29/100</f>
        <v>0</v>
      </c>
      <c r="D57" s="4">
        <f>'Huevos y Lacteos'!$A29*'Huevos y Lacteos'!D29/100</f>
        <v>0</v>
      </c>
      <c r="E57" s="4">
        <f>'Huevos y Lacteos'!$A29*'Huevos y Lacteos'!E29/100</f>
        <v>0</v>
      </c>
      <c r="F57" s="4">
        <f>'Huevos y Lacteos'!$A29*'Huevos y Lacteos'!F29/100</f>
        <v>0</v>
      </c>
      <c r="G57" s="4">
        <f>'Huevos y Lacteos'!$A29*'Huevos y Lacteos'!G29/100</f>
        <v>0</v>
      </c>
      <c r="H57" s="4">
        <f>'Huevos y Lacteos'!$A29*'Huevos y Lacteos'!H29/100</f>
        <v>0</v>
      </c>
      <c r="I57" s="4">
        <f>'Huevos y Lacteos'!$A29*'Huevos y Lacteos'!I29/100</f>
        <v>0</v>
      </c>
      <c r="J57" s="4">
        <f>'Huevos y Lacteos'!$A29*'Huevos y Lacteos'!J29/100</f>
        <v>0</v>
      </c>
      <c r="K57" s="4">
        <f>'Huevos y Lacteos'!$A29*'Huevos y Lacteos'!K29/100</f>
        <v>0</v>
      </c>
      <c r="L57" s="4">
        <f>'Huevos y Lacteos'!$A29*'Huevos y Lacteos'!L29/100</f>
        <v>0</v>
      </c>
      <c r="M57" s="4">
        <f>'Huevos y Lacteos'!$A29*'Huevos y Lacteos'!M29/100</f>
        <v>0</v>
      </c>
      <c r="N57" s="4">
        <f>'Huevos y Lacteos'!$A29*'Huevos y Lacteos'!N29/100</f>
        <v>0</v>
      </c>
      <c r="O57" s="4">
        <f>'Huevos y Lacteos'!$A29*'Huevos y Lacteos'!O29/100</f>
        <v>0</v>
      </c>
      <c r="P57" s="4">
        <f>'Huevos y Lacteos'!$A29*'Huevos y Lacteos'!P29/100</f>
        <v>0</v>
      </c>
      <c r="Q57" s="4">
        <f>'Huevos y Lacteos'!$A29*'Huevos y Lacteos'!Q29/100</f>
        <v>0</v>
      </c>
      <c r="R57" s="11">
        <f>'Huevos y Lacteos'!$A29*'Huevos y Lacteos'!R29/100</f>
        <v>0</v>
      </c>
      <c r="S57" s="11">
        <f>'Huevos y Lacteos'!$A29*'Huevos y Lacteos'!S29/100</f>
        <v>0</v>
      </c>
      <c r="T57" s="11">
        <f>'Huevos y Lacteos'!$A29*'Huevos y Lacteos'!T29/100</f>
        <v>0</v>
      </c>
      <c r="U57" s="11">
        <f>'Huevos y Lacteos'!$A29*'Huevos y Lacteos'!U29/100</f>
        <v>0</v>
      </c>
    </row>
    <row r="58" spans="1:21" x14ac:dyDescent="0.15">
      <c r="A58" s="10">
        <f>'Huevos y Lacteos'!A30</f>
        <v>0</v>
      </c>
      <c r="B58" s="4" t="str">
        <f>'Huevos y Lacteos'!B30</f>
        <v>Queso Fresco Batido 0%</v>
      </c>
      <c r="C58" s="4">
        <f>'Huevos y Lacteos'!$A30*'Huevos y Lacteos'!C30/100</f>
        <v>0</v>
      </c>
      <c r="D58" s="4">
        <f>'Huevos y Lacteos'!$A30*'Huevos y Lacteos'!D30/100</f>
        <v>0</v>
      </c>
      <c r="E58" s="4">
        <f>'Huevos y Lacteos'!$A30*'Huevos y Lacteos'!E30/100</f>
        <v>0</v>
      </c>
      <c r="F58" s="4">
        <f>'Huevos y Lacteos'!$A30*'Huevos y Lacteos'!F30/100</f>
        <v>0</v>
      </c>
      <c r="G58" s="4">
        <f>'Huevos y Lacteos'!$A30*'Huevos y Lacteos'!G30/100</f>
        <v>0</v>
      </c>
      <c r="H58" s="4">
        <f>'Huevos y Lacteos'!$A30*'Huevos y Lacteos'!H30/100</f>
        <v>0</v>
      </c>
      <c r="I58" s="4">
        <f>'Huevos y Lacteos'!$A30*'Huevos y Lacteos'!I30/100</f>
        <v>0</v>
      </c>
      <c r="J58" s="4">
        <f>'Huevos y Lacteos'!$A30*'Huevos y Lacteos'!J30/100</f>
        <v>0</v>
      </c>
      <c r="K58" s="4">
        <f>'Huevos y Lacteos'!$A30*'Huevos y Lacteos'!K30/100</f>
        <v>0</v>
      </c>
      <c r="L58" s="4">
        <f>'Huevos y Lacteos'!$A30*'Huevos y Lacteos'!L30/100</f>
        <v>0</v>
      </c>
      <c r="M58" s="4">
        <f>'Huevos y Lacteos'!$A30*'Huevos y Lacteos'!M30/100</f>
        <v>0</v>
      </c>
      <c r="N58" s="4">
        <f>'Huevos y Lacteos'!$A30*'Huevos y Lacteos'!N30/100</f>
        <v>0</v>
      </c>
      <c r="O58" s="4">
        <f>'Huevos y Lacteos'!$A30*'Huevos y Lacteos'!O30/100</f>
        <v>0</v>
      </c>
      <c r="P58" s="4">
        <f>'Huevos y Lacteos'!$A30*'Huevos y Lacteos'!P30/100</f>
        <v>0</v>
      </c>
      <c r="Q58" s="4">
        <f>'Huevos y Lacteos'!$A30*'Huevos y Lacteos'!Q30/100</f>
        <v>0</v>
      </c>
      <c r="R58" s="11">
        <f>'Huevos y Lacteos'!$A30*'Huevos y Lacteos'!R30/100</f>
        <v>0</v>
      </c>
      <c r="S58" s="11">
        <f>'Huevos y Lacteos'!$A30*'Huevos y Lacteos'!S30/100</f>
        <v>0</v>
      </c>
      <c r="T58" s="11">
        <f>'Huevos y Lacteos'!$A30*'Huevos y Lacteos'!T30/100</f>
        <v>0</v>
      </c>
      <c r="U58" s="11">
        <f>'Huevos y Lacteos'!$A30*'Huevos y Lacteos'!U30/100</f>
        <v>0</v>
      </c>
    </row>
    <row r="59" spans="1:21" x14ac:dyDescent="0.15">
      <c r="A59" s="10">
        <f>'Huevos y Lacteos'!A31</f>
        <v>0</v>
      </c>
      <c r="B59" s="4" t="str">
        <f>'Huevos y Lacteos'!B31</f>
        <v>Queso Gouda Light (Bon Area)</v>
      </c>
      <c r="C59" s="4">
        <f>'Huevos y Lacteos'!$A31*'Huevos y Lacteos'!C31/100</f>
        <v>0</v>
      </c>
      <c r="D59" s="4">
        <f>'Huevos y Lacteos'!$A31*'Huevos y Lacteos'!D31/100</f>
        <v>0</v>
      </c>
      <c r="E59" s="4">
        <f>'Huevos y Lacteos'!$A31*'Huevos y Lacteos'!E31/100</f>
        <v>0</v>
      </c>
      <c r="F59" s="4">
        <f>'Huevos y Lacteos'!$A31*'Huevos y Lacteos'!F31/100</f>
        <v>0</v>
      </c>
      <c r="G59" s="4">
        <f>'Huevos y Lacteos'!$A31*'Huevos y Lacteos'!G31/100</f>
        <v>0</v>
      </c>
      <c r="H59" s="4">
        <f>'Huevos y Lacteos'!$A31*'Huevos y Lacteos'!H31/100</f>
        <v>0</v>
      </c>
      <c r="I59" s="4">
        <f>'Huevos y Lacteos'!$A31*'Huevos y Lacteos'!I31/100</f>
        <v>0</v>
      </c>
      <c r="J59" s="4">
        <f>'Huevos y Lacteos'!$A31*'Huevos y Lacteos'!J31/100</f>
        <v>0</v>
      </c>
      <c r="K59" s="4">
        <f>'Huevos y Lacteos'!$A31*'Huevos y Lacteos'!K31/100</f>
        <v>0</v>
      </c>
      <c r="L59" s="4">
        <f>'Huevos y Lacteos'!$A31*'Huevos y Lacteos'!L31/100</f>
        <v>0</v>
      </c>
      <c r="M59" s="4">
        <f>'Huevos y Lacteos'!$A31*'Huevos y Lacteos'!M31/100</f>
        <v>0</v>
      </c>
      <c r="N59" s="4">
        <f>'Huevos y Lacteos'!$A31*'Huevos y Lacteos'!N31/100</f>
        <v>0</v>
      </c>
      <c r="O59" s="4">
        <f>'Huevos y Lacteos'!$A31*'Huevos y Lacteos'!O31/100</f>
        <v>0</v>
      </c>
      <c r="P59" s="4">
        <f>'Huevos y Lacteos'!$A31*'Huevos y Lacteos'!P31/100</f>
        <v>0</v>
      </c>
      <c r="Q59" s="4">
        <f>'Huevos y Lacteos'!$A31*'Huevos y Lacteos'!Q31/100</f>
        <v>0</v>
      </c>
      <c r="R59" s="11">
        <f>'Huevos y Lacteos'!$A31*'Huevos y Lacteos'!R31/100</f>
        <v>0</v>
      </c>
      <c r="S59" s="11">
        <f>'Huevos y Lacteos'!$A31*'Huevos y Lacteos'!S31/100</f>
        <v>0</v>
      </c>
      <c r="T59" s="11">
        <f>'Huevos y Lacteos'!$A31*'Huevos y Lacteos'!T31/100</f>
        <v>0</v>
      </c>
      <c r="U59" s="11">
        <f>'Huevos y Lacteos'!$A31*'Huevos y Lacteos'!U31/100</f>
        <v>0</v>
      </c>
    </row>
    <row r="60" spans="1:21" x14ac:dyDescent="0.15">
      <c r="A60" s="10">
        <f>'Cereales y Legumbres'!A4</f>
        <v>70</v>
      </c>
      <c r="B60" s="4" t="str">
        <f>'Cereales y Legumbres'!B4</f>
        <v>Arroz Blanco, Crudo</v>
      </c>
      <c r="C60" s="4">
        <f>'Cereales y Legumbres'!$A4*'Cereales y Legumbres'!C4/100</f>
        <v>7</v>
      </c>
      <c r="D60" s="4">
        <f>'Cereales y Legumbres'!$A4*'Cereales y Legumbres'!D4/100</f>
        <v>253.4</v>
      </c>
      <c r="E60" s="4">
        <f>'Cereales y Legumbres'!$A4*'Cereales y Legumbres'!E4/100</f>
        <v>4.76</v>
      </c>
      <c r="F60" s="4">
        <f>'Cereales y Legumbres'!$A4*'Cereales y Legumbres'!F4/100</f>
        <v>0.63</v>
      </c>
      <c r="G60" s="4">
        <f>'Cereales y Legumbres'!$A4*'Cereales y Legumbres'!G4/100</f>
        <v>57.12</v>
      </c>
      <c r="H60" s="4">
        <f>'Cereales y Legumbres'!$A4*'Cereales y Legumbres'!H4/100</f>
        <v>3.5</v>
      </c>
      <c r="I60" s="4">
        <f>'Cereales y Legumbres'!$A4*'Cereales y Legumbres'!I4/100</f>
        <v>74.2</v>
      </c>
      <c r="J60" s="4">
        <f>'Cereales y Legumbres'!$A4*'Cereales y Legumbres'!J4/100</f>
        <v>84</v>
      </c>
      <c r="K60" s="4">
        <f>'Cereales y Legumbres'!$A4*'Cereales y Legumbres'!K4/100</f>
        <v>9.8000000000000007</v>
      </c>
      <c r="L60" s="4">
        <f>'Cereales y Legumbres'!$A4*'Cereales y Legumbres'!L4/100</f>
        <v>0.49</v>
      </c>
      <c r="M60" s="4">
        <f>'Cereales y Legumbres'!$A4*'Cereales y Legumbres'!M4/100</f>
        <v>0</v>
      </c>
      <c r="N60" s="4">
        <f>'Cereales y Legumbres'!$A4*'Cereales y Legumbres'!N4/100</f>
        <v>4.2000000000000003E-2</v>
      </c>
      <c r="O60" s="4">
        <f>'Cereales y Legumbres'!$A4*'Cereales y Legumbres'!O4/100</f>
        <v>2.8000000000000004E-2</v>
      </c>
      <c r="P60" s="4">
        <f>'Cereales y Legumbres'!$A4*'Cereales y Legumbres'!P4/100</f>
        <v>1.61</v>
      </c>
      <c r="Q60" s="4">
        <f>'Cereales y Legumbres'!$A4*'Cereales y Legumbres'!Q4/100</f>
        <v>0</v>
      </c>
      <c r="R60" s="11">
        <f>'Cereales y Legumbres'!$A4*'Cereales y Legumbres'!R4/100</f>
        <v>0</v>
      </c>
      <c r="S60" s="11">
        <f>'Cereales y Legumbres'!$A4*'Cereales y Legumbres'!S4/100</f>
        <v>9.0999999999999998E-2</v>
      </c>
      <c r="T60" s="11">
        <f>'Cereales y Legumbres'!$A4*'Cereales y Legumbres'!T4/100</f>
        <v>0</v>
      </c>
      <c r="U60" s="11">
        <f>'Cereales y Legumbres'!$A4*'Cereales y Legumbres'!U4/100</f>
        <v>23.1</v>
      </c>
    </row>
    <row r="61" spans="1:21" x14ac:dyDescent="0.15">
      <c r="A61" s="10">
        <f>'Cereales y Legumbres'!A5</f>
        <v>0</v>
      </c>
      <c r="B61" s="4" t="str">
        <f>'Cereales y Legumbres'!B5</f>
        <v>Arroz Integral, Crudo</v>
      </c>
      <c r="C61" s="4">
        <f>'Cereales y Legumbres'!$A5*'Cereales y Legumbres'!C5/100</f>
        <v>0</v>
      </c>
      <c r="D61" s="4">
        <f>'Cereales y Legumbres'!$A5*'Cereales y Legumbres'!D5/100</f>
        <v>0</v>
      </c>
      <c r="E61" s="4">
        <f>'Cereales y Legumbres'!$A5*'Cereales y Legumbres'!E5/100</f>
        <v>0</v>
      </c>
      <c r="F61" s="4">
        <f>'Cereales y Legumbres'!$A5*'Cereales y Legumbres'!F5/100</f>
        <v>0</v>
      </c>
      <c r="G61" s="4">
        <f>'Cereales y Legumbres'!$A5*'Cereales y Legumbres'!G5/100</f>
        <v>0</v>
      </c>
      <c r="H61" s="4">
        <f>'Cereales y Legumbres'!$A5*'Cereales y Legumbres'!H5/100</f>
        <v>0</v>
      </c>
      <c r="I61" s="4">
        <f>'Cereales y Legumbres'!$A5*'Cereales y Legumbres'!I5/100</f>
        <v>0</v>
      </c>
      <c r="J61" s="4">
        <f>'Cereales y Legumbres'!$A5*'Cereales y Legumbres'!J5/100</f>
        <v>0</v>
      </c>
      <c r="K61" s="4">
        <f>'Cereales y Legumbres'!$A5*'Cereales y Legumbres'!K5/100</f>
        <v>0</v>
      </c>
      <c r="L61" s="4">
        <f>'Cereales y Legumbres'!$A5*'Cereales y Legumbres'!L5/100</f>
        <v>0</v>
      </c>
      <c r="M61" s="4">
        <f>'Cereales y Legumbres'!$A5*'Cereales y Legumbres'!M5/100</f>
        <v>0</v>
      </c>
      <c r="N61" s="4">
        <f>'Cereales y Legumbres'!$A5*'Cereales y Legumbres'!N5/100</f>
        <v>0</v>
      </c>
      <c r="O61" s="4">
        <f>'Cereales y Legumbres'!$A5*'Cereales y Legumbres'!O5/100</f>
        <v>0</v>
      </c>
      <c r="P61" s="4">
        <f>'Cereales y Legumbres'!$A5*'Cereales y Legumbres'!P5/100</f>
        <v>0</v>
      </c>
      <c r="Q61" s="4">
        <f>'Cereales y Legumbres'!$A5*'Cereales y Legumbres'!Q5/100</f>
        <v>0</v>
      </c>
      <c r="R61" s="11">
        <f>'Cereales y Legumbres'!$A5*'Cereales y Legumbres'!R5/100</f>
        <v>0</v>
      </c>
      <c r="S61" s="11">
        <f>'Cereales y Legumbres'!$A5*'Cereales y Legumbres'!S5/100</f>
        <v>0</v>
      </c>
      <c r="T61" s="11">
        <f>'Cereales y Legumbres'!$A5*'Cereales y Legumbres'!T5/100</f>
        <v>0</v>
      </c>
      <c r="U61" s="11">
        <f>'Cereales y Legumbres'!$A5*'Cereales y Legumbres'!U5/100</f>
        <v>0</v>
      </c>
    </row>
    <row r="62" spans="1:21" x14ac:dyDescent="0.15">
      <c r="A62" s="10">
        <f>'Cereales y Legumbres'!A6</f>
        <v>0</v>
      </c>
      <c r="B62" s="4" t="str">
        <f>'Cereales y Legumbres'!B6</f>
        <v>Arroz Integral, Cocido</v>
      </c>
      <c r="C62" s="4">
        <f>'Cereales y Legumbres'!$A6*'Cereales y Legumbres'!C6/100</f>
        <v>0</v>
      </c>
      <c r="D62" s="4">
        <f>'Cereales y Legumbres'!$A6*'Cereales y Legumbres'!D6/100</f>
        <v>0</v>
      </c>
      <c r="E62" s="4">
        <f>'Cereales y Legumbres'!$A6*'Cereales y Legumbres'!E6/100</f>
        <v>0</v>
      </c>
      <c r="F62" s="4">
        <f>'Cereales y Legumbres'!$A6*'Cereales y Legumbres'!F6/100</f>
        <v>0</v>
      </c>
      <c r="G62" s="4">
        <f>'Cereales y Legumbres'!$A6*'Cereales y Legumbres'!G6/100</f>
        <v>0</v>
      </c>
      <c r="H62" s="4">
        <f>'Cereales y Legumbres'!$A6*'Cereales y Legumbres'!H6/100</f>
        <v>0</v>
      </c>
      <c r="I62" s="4">
        <f>'Cereales y Legumbres'!$A6*'Cereales y Legumbres'!I6/100</f>
        <v>0</v>
      </c>
      <c r="J62" s="4">
        <f>'Cereales y Legumbres'!$A6*'Cereales y Legumbres'!J6/100</f>
        <v>0</v>
      </c>
      <c r="K62" s="4">
        <f>'Cereales y Legumbres'!$A6*'Cereales y Legumbres'!K6/100</f>
        <v>0</v>
      </c>
      <c r="L62" s="4">
        <f>'Cereales y Legumbres'!$A6*'Cereales y Legumbres'!L6/100</f>
        <v>0</v>
      </c>
      <c r="M62" s="4">
        <f>'Cereales y Legumbres'!$A6*'Cereales y Legumbres'!M6/100</f>
        <v>0</v>
      </c>
      <c r="N62" s="4">
        <f>'Cereales y Legumbres'!$A6*'Cereales y Legumbres'!N6/100</f>
        <v>0</v>
      </c>
      <c r="O62" s="4">
        <f>'Cereales y Legumbres'!$A6*'Cereales y Legumbres'!O6/100</f>
        <v>0</v>
      </c>
      <c r="P62" s="4">
        <f>'Cereales y Legumbres'!$A6*'Cereales y Legumbres'!P6/100</f>
        <v>0</v>
      </c>
      <c r="Q62" s="4">
        <f>'Cereales y Legumbres'!$A6*'Cereales y Legumbres'!Q6/100</f>
        <v>0</v>
      </c>
      <c r="R62" s="11">
        <f>'Cereales y Legumbres'!$A6*'Cereales y Legumbres'!R6/100</f>
        <v>0</v>
      </c>
      <c r="S62" s="11">
        <f>'Cereales y Legumbres'!$A6*'Cereales y Legumbres'!S6/100</f>
        <v>0</v>
      </c>
      <c r="T62" s="11">
        <f>'Cereales y Legumbres'!$A6*'Cereales y Legumbres'!T6/100</f>
        <v>0</v>
      </c>
      <c r="U62" s="11">
        <f>'Cereales y Legumbres'!$A6*'Cereales y Legumbres'!U6/100</f>
        <v>0</v>
      </c>
    </row>
    <row r="63" spans="1:21" x14ac:dyDescent="0.15">
      <c r="A63" s="10">
        <f>'Cereales y Legumbres'!A7</f>
        <v>0</v>
      </c>
      <c r="B63" s="4" t="str">
        <f>'Cereales y Legumbres'!B7</f>
        <v>Tortitas de arroz</v>
      </c>
      <c r="C63" s="4">
        <f>'Cereales y Legumbres'!$A7*'Cereales y Legumbres'!C7/100</f>
        <v>0</v>
      </c>
      <c r="D63" s="4">
        <f>'Cereales y Legumbres'!$A7*'Cereales y Legumbres'!D7/100</f>
        <v>0</v>
      </c>
      <c r="E63" s="4">
        <f>'Cereales y Legumbres'!$A7*'Cereales y Legumbres'!E7/100</f>
        <v>0</v>
      </c>
      <c r="F63" s="4">
        <f>'Cereales y Legumbres'!$A7*'Cereales y Legumbres'!F7/100</f>
        <v>0</v>
      </c>
      <c r="G63" s="4">
        <f>'Cereales y Legumbres'!$A7*'Cereales y Legumbres'!G7/100</f>
        <v>0</v>
      </c>
      <c r="H63" s="4">
        <f>'Cereales y Legumbres'!$A7*'Cereales y Legumbres'!H7/100</f>
        <v>0</v>
      </c>
      <c r="I63" s="4">
        <f>'Cereales y Legumbres'!$A7*'Cereales y Legumbres'!I7/100</f>
        <v>0</v>
      </c>
      <c r="J63" s="4">
        <f>'Cereales y Legumbres'!$A7*'Cereales y Legumbres'!J7/100</f>
        <v>0</v>
      </c>
      <c r="K63" s="4">
        <f>'Cereales y Legumbres'!$A7*'Cereales y Legumbres'!K7/100</f>
        <v>0</v>
      </c>
      <c r="L63" s="4">
        <f>'Cereales y Legumbres'!$A7*'Cereales y Legumbres'!L7/100</f>
        <v>0</v>
      </c>
      <c r="M63" s="4">
        <f>'Cereales y Legumbres'!$A7*'Cereales y Legumbres'!M7/100</f>
        <v>0</v>
      </c>
      <c r="N63" s="4">
        <f>'Cereales y Legumbres'!$A7*'Cereales y Legumbres'!N7/100</f>
        <v>0</v>
      </c>
      <c r="O63" s="4">
        <f>'Cereales y Legumbres'!$A7*'Cereales y Legumbres'!O7/100</f>
        <v>0</v>
      </c>
      <c r="P63" s="4">
        <f>'Cereales y Legumbres'!$A7*'Cereales y Legumbres'!P7/100</f>
        <v>0</v>
      </c>
      <c r="Q63" s="4">
        <f>'Cereales y Legumbres'!$A7*'Cereales y Legumbres'!Q7/100</f>
        <v>0</v>
      </c>
      <c r="R63" s="11">
        <f>'Cereales y Legumbres'!$A7*'Cereales y Legumbres'!R7/100</f>
        <v>0</v>
      </c>
      <c r="S63" s="11">
        <f>'Cereales y Legumbres'!$A7*'Cereales y Legumbres'!S7/100</f>
        <v>0</v>
      </c>
      <c r="T63" s="11">
        <f>'Cereales y Legumbres'!$A7*'Cereales y Legumbres'!T7/100</f>
        <v>0</v>
      </c>
      <c r="U63" s="11">
        <f>'Cereales y Legumbres'!$A7*'Cereales y Legumbres'!U7/100</f>
        <v>0</v>
      </c>
    </row>
    <row r="64" spans="1:21" x14ac:dyDescent="0.15">
      <c r="A64" s="10">
        <f>'Cereales y Legumbres'!A8</f>
        <v>0</v>
      </c>
      <c r="B64" s="4" t="str">
        <f>'Cereales y Legumbres'!B8</f>
        <v>Pan Blanco</v>
      </c>
      <c r="C64" s="4">
        <f>'Cereales y Legumbres'!$A8*'Cereales y Legumbres'!C8/100</f>
        <v>0</v>
      </c>
      <c r="D64" s="4">
        <f>'Cereales y Legumbres'!$A8*'Cereales y Legumbres'!D8/100</f>
        <v>0</v>
      </c>
      <c r="E64" s="4">
        <f>'Cereales y Legumbres'!$A8*'Cereales y Legumbres'!E8/100</f>
        <v>0</v>
      </c>
      <c r="F64" s="4">
        <f>'Cereales y Legumbres'!$A8*'Cereales y Legumbres'!F8/100</f>
        <v>0</v>
      </c>
      <c r="G64" s="4">
        <f>'Cereales y Legumbres'!$A8*'Cereales y Legumbres'!G8/100</f>
        <v>0</v>
      </c>
      <c r="H64" s="4">
        <f>'Cereales y Legumbres'!$A8*'Cereales y Legumbres'!H8/100</f>
        <v>0</v>
      </c>
      <c r="I64" s="4">
        <f>'Cereales y Legumbres'!$A8*'Cereales y Legumbres'!I8/100</f>
        <v>0</v>
      </c>
      <c r="J64" s="4">
        <f>'Cereales y Legumbres'!$A8*'Cereales y Legumbres'!J8/100</f>
        <v>0</v>
      </c>
      <c r="K64" s="4">
        <f>'Cereales y Legumbres'!$A8*'Cereales y Legumbres'!K8/100</f>
        <v>0</v>
      </c>
      <c r="L64" s="4">
        <f>'Cereales y Legumbres'!$A8*'Cereales y Legumbres'!L8/100</f>
        <v>0</v>
      </c>
      <c r="M64" s="4">
        <f>'Cereales y Legumbres'!$A8*'Cereales y Legumbres'!M8/100</f>
        <v>0</v>
      </c>
      <c r="N64" s="4">
        <f>'Cereales y Legumbres'!$A8*'Cereales y Legumbres'!N8/100</f>
        <v>0</v>
      </c>
      <c r="O64" s="4">
        <f>'Cereales y Legumbres'!$A8*'Cereales y Legumbres'!O8/100</f>
        <v>0</v>
      </c>
      <c r="P64" s="4">
        <f>'Cereales y Legumbres'!$A8*'Cereales y Legumbres'!P8/100</f>
        <v>0</v>
      </c>
      <c r="Q64" s="4">
        <f>'Cereales y Legumbres'!$A8*'Cereales y Legumbres'!Q8/100</f>
        <v>0</v>
      </c>
      <c r="R64" s="11">
        <f>'Cereales y Legumbres'!$A8*'Cereales y Legumbres'!R8/100</f>
        <v>0</v>
      </c>
      <c r="S64" s="11">
        <f>'Cereales y Legumbres'!$A8*'Cereales y Legumbres'!S8/100</f>
        <v>0</v>
      </c>
      <c r="T64" s="11">
        <f>'Cereales y Legumbres'!$A8*'Cereales y Legumbres'!T8/100</f>
        <v>0</v>
      </c>
      <c r="U64" s="11">
        <f>'Cereales y Legumbres'!$A8*'Cereales y Legumbres'!U8/100</f>
        <v>0</v>
      </c>
    </row>
    <row r="65" spans="1:22" x14ac:dyDescent="0.15">
      <c r="A65" s="10">
        <f>'Cereales y Legumbres'!A9</f>
        <v>0</v>
      </c>
      <c r="B65" s="4" t="str">
        <f>'Cereales y Legumbres'!B9</f>
        <v>Pan Integral</v>
      </c>
      <c r="C65" s="4">
        <f>'Cereales y Legumbres'!$A9*'Cereales y Legumbres'!C9/100</f>
        <v>0</v>
      </c>
      <c r="D65" s="4">
        <f>'Cereales y Legumbres'!$A9*'Cereales y Legumbres'!D9/100</f>
        <v>0</v>
      </c>
      <c r="E65" s="4">
        <f>'Cereales y Legumbres'!$A9*'Cereales y Legumbres'!E9/100</f>
        <v>0</v>
      </c>
      <c r="F65" s="4">
        <f>'Cereales y Legumbres'!$A9*'Cereales y Legumbres'!F9/100</f>
        <v>0</v>
      </c>
      <c r="G65" s="4">
        <f>'Cereales y Legumbres'!$A9*'Cereales y Legumbres'!G9/100</f>
        <v>0</v>
      </c>
      <c r="H65" s="4">
        <f>'Cereales y Legumbres'!$A9*'Cereales y Legumbres'!H9/100</f>
        <v>0</v>
      </c>
      <c r="I65" s="4">
        <f>'Cereales y Legumbres'!$A9*'Cereales y Legumbres'!I9/100</f>
        <v>0</v>
      </c>
      <c r="J65" s="4">
        <f>'Cereales y Legumbres'!$A9*'Cereales y Legumbres'!J9/100</f>
        <v>0</v>
      </c>
      <c r="K65" s="4">
        <f>'Cereales y Legumbres'!$A9*'Cereales y Legumbres'!K9/100</f>
        <v>0</v>
      </c>
      <c r="L65" s="4">
        <f>'Cereales y Legumbres'!$A9*'Cereales y Legumbres'!L9/100</f>
        <v>0</v>
      </c>
      <c r="M65" s="4">
        <f>'Cereales y Legumbres'!$A9*'Cereales y Legumbres'!M9/100</f>
        <v>0</v>
      </c>
      <c r="N65" s="4">
        <f>'Cereales y Legumbres'!$A9*'Cereales y Legumbres'!N9/100</f>
        <v>0</v>
      </c>
      <c r="O65" s="4">
        <f>'Cereales y Legumbres'!$A9*'Cereales y Legumbres'!O9/100</f>
        <v>0</v>
      </c>
      <c r="P65" s="4">
        <f>'Cereales y Legumbres'!$A9*'Cereales y Legumbres'!P9/100</f>
        <v>0</v>
      </c>
      <c r="Q65" s="4">
        <f>'Cereales y Legumbres'!$A9*'Cereales y Legumbres'!Q9/100</f>
        <v>0</v>
      </c>
      <c r="R65" s="11">
        <f>'Cereales y Legumbres'!$A9*'Cereales y Legumbres'!R9/100</f>
        <v>0</v>
      </c>
      <c r="S65" s="11">
        <f>'Cereales y Legumbres'!$A9*'Cereales y Legumbres'!S9/100</f>
        <v>0</v>
      </c>
      <c r="T65" s="11">
        <f>'Cereales y Legumbres'!$A9*'Cereales y Legumbres'!T9/100</f>
        <v>0</v>
      </c>
      <c r="U65" s="11">
        <f>'Cereales y Legumbres'!$A9*'Cereales y Legumbres'!U9/100</f>
        <v>0</v>
      </c>
    </row>
    <row r="66" spans="1:22" x14ac:dyDescent="0.15">
      <c r="A66" s="10">
        <f>'Cereales y Legumbres'!A10</f>
        <v>0</v>
      </c>
      <c r="B66" s="4" t="str">
        <f>'Cereales y Legumbres'!B10</f>
        <v>Biscottes</v>
      </c>
      <c r="C66" s="4">
        <f>'Cereales y Legumbres'!$A10*'Cereales y Legumbres'!C10/100</f>
        <v>0</v>
      </c>
      <c r="D66" s="4">
        <f>'Cereales y Legumbres'!$A10*'Cereales y Legumbres'!D10/100</f>
        <v>0</v>
      </c>
      <c r="E66" s="4">
        <f>'Cereales y Legumbres'!$A10*'Cereales y Legumbres'!E10/100</f>
        <v>0</v>
      </c>
      <c r="F66" s="4">
        <f>'Cereales y Legumbres'!$A10*'Cereales y Legumbres'!F10/100</f>
        <v>0</v>
      </c>
      <c r="G66" s="4">
        <f>'Cereales y Legumbres'!$A10*'Cereales y Legumbres'!G10/100</f>
        <v>0</v>
      </c>
      <c r="H66" s="4">
        <f>'Cereales y Legumbres'!$A10*'Cereales y Legumbres'!H10/100</f>
        <v>0</v>
      </c>
      <c r="I66" s="4">
        <f>'Cereales y Legumbres'!$A10*'Cereales y Legumbres'!I10/100</f>
        <v>0</v>
      </c>
      <c r="J66" s="4">
        <f>'Cereales y Legumbres'!$A10*'Cereales y Legumbres'!J10/100</f>
        <v>0</v>
      </c>
      <c r="K66" s="4">
        <f>'Cereales y Legumbres'!$A10*'Cereales y Legumbres'!K10/100</f>
        <v>0</v>
      </c>
      <c r="L66" s="4">
        <f>'Cereales y Legumbres'!$A10*'Cereales y Legumbres'!L10/100</f>
        <v>0</v>
      </c>
      <c r="M66" s="4">
        <f>'Cereales y Legumbres'!$A10*'Cereales y Legumbres'!M10/100</f>
        <v>0</v>
      </c>
      <c r="N66" s="4">
        <f>'Cereales y Legumbres'!$A10*'Cereales y Legumbres'!N10/100</f>
        <v>0</v>
      </c>
      <c r="O66" s="4">
        <f>'Cereales y Legumbres'!$A10*'Cereales y Legumbres'!O10/100</f>
        <v>0</v>
      </c>
      <c r="P66" s="4">
        <f>'Cereales y Legumbres'!$A10*'Cereales y Legumbres'!P10/100</f>
        <v>0</v>
      </c>
      <c r="Q66" s="4">
        <f>'Cereales y Legumbres'!$A10*'Cereales y Legumbres'!Q10/100</f>
        <v>0</v>
      </c>
      <c r="R66" s="11">
        <f>'Cereales y Legumbres'!$A10*'Cereales y Legumbres'!R10/100</f>
        <v>0</v>
      </c>
      <c r="S66" s="11">
        <f>'Cereales y Legumbres'!$A10*'Cereales y Legumbres'!S10/100</f>
        <v>0</v>
      </c>
      <c r="T66" s="11">
        <f>'Cereales y Legumbres'!$A10*'Cereales y Legumbres'!T10/100</f>
        <v>0</v>
      </c>
      <c r="U66" s="11">
        <f>'Cereales y Legumbres'!$A10*'Cereales y Legumbres'!U10/100</f>
        <v>0</v>
      </c>
    </row>
    <row r="67" spans="1:22" x14ac:dyDescent="0.15">
      <c r="A67" s="10">
        <f>'Cereales y Legumbres'!A11</f>
        <v>0</v>
      </c>
      <c r="B67" s="4" t="str">
        <f>'Cereales y Legumbres'!B11</f>
        <v>Galleta Maria</v>
      </c>
      <c r="C67" s="4">
        <f>'Cereales y Legumbres'!$A11*'Cereales y Legumbres'!C11/100</f>
        <v>0</v>
      </c>
      <c r="D67" s="4">
        <f>'Cereales y Legumbres'!$A11*'Cereales y Legumbres'!D11/100</f>
        <v>0</v>
      </c>
      <c r="E67" s="4">
        <f>'Cereales y Legumbres'!$A11*'Cereales y Legumbres'!E11/100</f>
        <v>0</v>
      </c>
      <c r="F67" s="4">
        <f>'Cereales y Legumbres'!$A11*'Cereales y Legumbres'!F11/100</f>
        <v>0</v>
      </c>
      <c r="G67" s="4">
        <f>'Cereales y Legumbres'!$A11*'Cereales y Legumbres'!G11/100</f>
        <v>0</v>
      </c>
      <c r="H67" s="4">
        <f>'Cereales y Legumbres'!$A11*'Cereales y Legumbres'!H11/100</f>
        <v>0</v>
      </c>
      <c r="I67" s="4">
        <f>'Cereales y Legumbres'!$A11*'Cereales y Legumbres'!I11/100</f>
        <v>0</v>
      </c>
      <c r="J67" s="4">
        <f>'Cereales y Legumbres'!$A11*'Cereales y Legumbres'!J11/100</f>
        <v>0</v>
      </c>
      <c r="K67" s="4">
        <f>'Cereales y Legumbres'!$A11*'Cereales y Legumbres'!K11/100</f>
        <v>0</v>
      </c>
      <c r="L67" s="4">
        <f>'Cereales y Legumbres'!$A11*'Cereales y Legumbres'!L11/100</f>
        <v>0</v>
      </c>
      <c r="M67" s="4">
        <f>'Cereales y Legumbres'!$A11*'Cereales y Legumbres'!M11/100</f>
        <v>0</v>
      </c>
      <c r="N67" s="4">
        <f>'Cereales y Legumbres'!$A11*'Cereales y Legumbres'!N11/100</f>
        <v>0</v>
      </c>
      <c r="O67" s="4">
        <f>'Cereales y Legumbres'!$A11*'Cereales y Legumbres'!O11/100</f>
        <v>0</v>
      </c>
      <c r="P67" s="4">
        <f>'Cereales y Legumbres'!$A11*'Cereales y Legumbres'!P11/100</f>
        <v>0</v>
      </c>
      <c r="Q67" s="4">
        <f>'Cereales y Legumbres'!$A11*'Cereales y Legumbres'!Q11/100</f>
        <v>0</v>
      </c>
      <c r="R67" s="11">
        <f>'Cereales y Legumbres'!$A11*'Cereales y Legumbres'!R11/100</f>
        <v>0</v>
      </c>
      <c r="S67" s="11">
        <f>'Cereales y Legumbres'!$A11*'Cereales y Legumbres'!S11/100</f>
        <v>0</v>
      </c>
      <c r="T67" s="11">
        <f>'Cereales y Legumbres'!$A11*'Cereales y Legumbres'!T11/100</f>
        <v>0</v>
      </c>
      <c r="U67" s="11">
        <f>'Cereales y Legumbres'!$A11*'Cereales y Legumbres'!U11/100</f>
        <v>0</v>
      </c>
    </row>
    <row r="68" spans="1:22" x14ac:dyDescent="0.15">
      <c r="A68" s="10">
        <f>'Cereales y Legumbres'!A12</f>
        <v>0</v>
      </c>
      <c r="B68" s="4" t="str">
        <f>'Cereales y Legumbres'!B12</f>
        <v>Pasta, Cruda</v>
      </c>
      <c r="C68" s="4">
        <f>'Cereales y Legumbres'!$A12*'Cereales y Legumbres'!C12/100</f>
        <v>0</v>
      </c>
      <c r="D68" s="4">
        <f>'Cereales y Legumbres'!$A12*'Cereales y Legumbres'!D12/100</f>
        <v>0</v>
      </c>
      <c r="E68" s="4">
        <f>'Cereales y Legumbres'!$A12*'Cereales y Legumbres'!E12/100</f>
        <v>0</v>
      </c>
      <c r="F68" s="4">
        <f>'Cereales y Legumbres'!$A12*'Cereales y Legumbres'!F12/100</f>
        <v>0</v>
      </c>
      <c r="G68" s="4">
        <f>'Cereales y Legumbres'!$A12*'Cereales y Legumbres'!G12/100</f>
        <v>0</v>
      </c>
      <c r="H68" s="4">
        <f>'Cereales y Legumbres'!$A12*'Cereales y Legumbres'!H12/100</f>
        <v>0</v>
      </c>
      <c r="I68" s="4">
        <f>'Cereales y Legumbres'!$A12*'Cereales y Legumbres'!I12/100</f>
        <v>0</v>
      </c>
      <c r="J68" s="4">
        <f>'Cereales y Legumbres'!$A12*'Cereales y Legumbres'!J12/100</f>
        <v>0</v>
      </c>
      <c r="K68" s="4">
        <f>'Cereales y Legumbres'!$A12*'Cereales y Legumbres'!K12/100</f>
        <v>0</v>
      </c>
      <c r="L68" s="4">
        <f>'Cereales y Legumbres'!$A12*'Cereales y Legumbres'!L12/100</f>
        <v>0</v>
      </c>
      <c r="M68" s="4">
        <f>'Cereales y Legumbres'!$A12*'Cereales y Legumbres'!M12/100</f>
        <v>0</v>
      </c>
      <c r="N68" s="4">
        <f>'Cereales y Legumbres'!$A12*'Cereales y Legumbres'!N12/100</f>
        <v>0</v>
      </c>
      <c r="O68" s="4">
        <f>'Cereales y Legumbres'!$A12*'Cereales y Legumbres'!O12/100</f>
        <v>0</v>
      </c>
      <c r="P68" s="4">
        <f>'Cereales y Legumbres'!$A12*'Cereales y Legumbres'!P12/100</f>
        <v>0</v>
      </c>
      <c r="Q68" s="4">
        <f>'Cereales y Legumbres'!$A12*'Cereales y Legumbres'!Q12/100</f>
        <v>0</v>
      </c>
      <c r="R68" s="11">
        <f>'Cereales y Legumbres'!$A12*'Cereales y Legumbres'!R12/100</f>
        <v>0</v>
      </c>
      <c r="S68" s="11">
        <f>'Cereales y Legumbres'!$A12*'Cereales y Legumbres'!S12/100</f>
        <v>0</v>
      </c>
      <c r="T68" s="11">
        <f>'Cereales y Legumbres'!$A12*'Cereales y Legumbres'!T12/100</f>
        <v>0</v>
      </c>
      <c r="U68" s="11">
        <f>'Cereales y Legumbres'!$A12*'Cereales y Legumbres'!U12/100</f>
        <v>0</v>
      </c>
    </row>
    <row r="69" spans="1:22" x14ac:dyDescent="0.15">
      <c r="A69" s="10">
        <f>'Cereales y Legumbres'!A13</f>
        <v>0</v>
      </c>
      <c r="B69" s="4" t="str">
        <f>'Cereales y Legumbres'!B13</f>
        <v>Cereales Desayuno</v>
      </c>
      <c r="C69" s="4">
        <f>'Cereales y Legumbres'!$A13*'Cereales y Legumbres'!C13/100</f>
        <v>0</v>
      </c>
      <c r="D69" s="4">
        <f>'Cereales y Legumbres'!$A13*'Cereales y Legumbres'!D13/100</f>
        <v>0</v>
      </c>
      <c r="E69" s="4">
        <f>'Cereales y Legumbres'!$A13*'Cereales y Legumbres'!E13/100</f>
        <v>0</v>
      </c>
      <c r="F69" s="4">
        <f>'Cereales y Legumbres'!$A13*'Cereales y Legumbres'!F13/100</f>
        <v>0</v>
      </c>
      <c r="G69" s="4">
        <f>'Cereales y Legumbres'!$A13*'Cereales y Legumbres'!G13/100</f>
        <v>0</v>
      </c>
      <c r="H69" s="4">
        <f>'Cereales y Legumbres'!$A13*'Cereales y Legumbres'!H13/100</f>
        <v>0</v>
      </c>
      <c r="I69" s="4">
        <f>'Cereales y Legumbres'!$A13*'Cereales y Legumbres'!I13/100</f>
        <v>0</v>
      </c>
      <c r="J69" s="4">
        <f>'Cereales y Legumbres'!$A13*'Cereales y Legumbres'!J13/100</f>
        <v>0</v>
      </c>
      <c r="K69" s="4">
        <f>'Cereales y Legumbres'!$A13*'Cereales y Legumbres'!K13/100</f>
        <v>0</v>
      </c>
      <c r="L69" s="4">
        <f>'Cereales y Legumbres'!$A13*'Cereales y Legumbres'!L13/100</f>
        <v>0</v>
      </c>
      <c r="M69" s="4">
        <f>'Cereales y Legumbres'!$A13*'Cereales y Legumbres'!M13/100</f>
        <v>0</v>
      </c>
      <c r="N69" s="4">
        <f>'Cereales y Legumbres'!$A13*'Cereales y Legumbres'!N13/100</f>
        <v>0</v>
      </c>
      <c r="O69" s="4">
        <f>'Cereales y Legumbres'!$A13*'Cereales y Legumbres'!O13/100</f>
        <v>0</v>
      </c>
      <c r="P69" s="4">
        <f>'Cereales y Legumbres'!$A13*'Cereales y Legumbres'!P13/100</f>
        <v>0</v>
      </c>
      <c r="Q69" s="4">
        <f>'Cereales y Legumbres'!$A13*'Cereales y Legumbres'!Q13/100</f>
        <v>0</v>
      </c>
      <c r="R69" s="11">
        <f>'Cereales y Legumbres'!$A13*'Cereales y Legumbres'!R13/100</f>
        <v>0</v>
      </c>
      <c r="S69" s="11">
        <f>'Cereales y Legumbres'!$A13*'Cereales y Legumbres'!S13/100</f>
        <v>0</v>
      </c>
      <c r="T69" s="11">
        <f>'Cereales y Legumbres'!$A13*'Cereales y Legumbres'!T13/100</f>
        <v>0</v>
      </c>
      <c r="U69" s="11">
        <f>'Cereales y Legumbres'!$A13*'Cereales y Legumbres'!U13/100</f>
        <v>0</v>
      </c>
    </row>
    <row r="70" spans="1:22" x14ac:dyDescent="0.15">
      <c r="A70" s="10">
        <f>'Cereales y Legumbres'!A14</f>
        <v>100</v>
      </c>
      <c r="B70" s="4" t="str">
        <f>'Cereales y Legumbres'!B14</f>
        <v>Avena</v>
      </c>
      <c r="C70" s="4">
        <f>'Cereales y Legumbres'!$A14*'Cereales y Legumbres'!C14/100</f>
        <v>9</v>
      </c>
      <c r="D70" s="4">
        <f>'Cereales y Legumbres'!$A14*'Cereales y Legumbres'!D14/100</f>
        <v>348</v>
      </c>
      <c r="E70" s="4">
        <f>'Cereales y Legumbres'!$A14*'Cereales y Legumbres'!E14/100</f>
        <v>15</v>
      </c>
      <c r="F70" s="4">
        <f>'Cereales y Legumbres'!$A14*'Cereales y Legumbres'!F14/100</f>
        <v>6.4</v>
      </c>
      <c r="G70" s="4">
        <f>'Cereales y Legumbres'!$A14*'Cereales y Legumbres'!G14/100</f>
        <v>57.7</v>
      </c>
      <c r="H70" s="4">
        <f>'Cereales y Legumbres'!$A14*'Cereales y Legumbres'!H14/100</f>
        <v>4</v>
      </c>
      <c r="I70" s="4">
        <f>'Cereales y Legumbres'!$A14*'Cereales y Legumbres'!I14/100</f>
        <v>350</v>
      </c>
      <c r="J70" s="4">
        <f>'Cereales y Legumbres'!$A14*'Cereales y Legumbres'!J14/100</f>
        <v>420</v>
      </c>
      <c r="K70" s="4">
        <f>'Cereales y Legumbres'!$A14*'Cereales y Legumbres'!K14/100</f>
        <v>53</v>
      </c>
      <c r="L70" s="4">
        <f>'Cereales y Legumbres'!$A14*'Cereales y Legumbres'!L14/100</f>
        <v>4.2</v>
      </c>
      <c r="M70" s="4">
        <f>'Cereales y Legumbres'!$A14*'Cereales y Legumbres'!M14/100</f>
        <v>0</v>
      </c>
      <c r="N70" s="4">
        <f>'Cereales y Legumbres'!$A14*'Cereales y Legumbres'!N14/100</f>
        <v>0.5</v>
      </c>
      <c r="O70" s="4">
        <f>'Cereales y Legumbres'!$A14*'Cereales y Legumbres'!O14/100</f>
        <v>0.14000000000000001</v>
      </c>
      <c r="P70" s="4">
        <f>'Cereales y Legumbres'!$A14*'Cereales y Legumbres'!P14/100</f>
        <v>0.8</v>
      </c>
      <c r="Q70" s="4">
        <f>'Cereales y Legumbres'!$A14*'Cereales y Legumbres'!Q14/100</f>
        <v>0</v>
      </c>
      <c r="R70" s="11">
        <f>'Cereales y Legumbres'!$A14*'Cereales y Legumbres'!R14/100</f>
        <v>0</v>
      </c>
      <c r="S70" s="11">
        <f>'Cereales y Legumbres'!$A14*'Cereales y Legumbres'!S14/100</f>
        <v>0.25</v>
      </c>
      <c r="T70" s="11">
        <f>'Cereales y Legumbres'!$A14*'Cereales y Legumbres'!T14/100</f>
        <v>0</v>
      </c>
      <c r="U70" s="11">
        <f>'Cereales y Legumbres'!$A14*'Cereales y Legumbres'!U14/100</f>
        <v>148</v>
      </c>
    </row>
    <row r="71" spans="1:22" x14ac:dyDescent="0.15">
      <c r="A71" s="10">
        <f>'Cereales y Legumbres'!A15</f>
        <v>0</v>
      </c>
      <c r="B71" s="4" t="str">
        <f>'Cereales y Legumbres'!B15</f>
        <v>Weetabix</v>
      </c>
      <c r="C71" s="4">
        <f>'Cereales y Legumbres'!$A15*'Cereales y Legumbres'!C15/100</f>
        <v>0</v>
      </c>
      <c r="D71" s="4">
        <f>'Cereales y Legumbres'!$A15*'Cereales y Legumbres'!D15/100</f>
        <v>0</v>
      </c>
      <c r="E71" s="4">
        <f>'Cereales y Legumbres'!$A15*'Cereales y Legumbres'!E15/100</f>
        <v>0</v>
      </c>
      <c r="F71" s="4">
        <f>'Cereales y Legumbres'!$A15*'Cereales y Legumbres'!F15/100</f>
        <v>0</v>
      </c>
      <c r="G71" s="4">
        <f>'Cereales y Legumbres'!$A15*'Cereales y Legumbres'!G15/100</f>
        <v>0</v>
      </c>
      <c r="H71" s="4">
        <f>'Cereales y Legumbres'!$A15*'Cereales y Legumbres'!H15/100</f>
        <v>0</v>
      </c>
      <c r="I71" s="4">
        <f>'Cereales y Legumbres'!$A15*'Cereales y Legumbres'!I15/100</f>
        <v>0</v>
      </c>
      <c r="J71" s="4">
        <f>'Cereales y Legumbres'!$A15*'Cereales y Legumbres'!J15/100</f>
        <v>0</v>
      </c>
      <c r="K71" s="4">
        <f>'Cereales y Legumbres'!$A15*'Cereales y Legumbres'!K15/100</f>
        <v>0</v>
      </c>
      <c r="L71" s="4">
        <f>'Cereales y Legumbres'!$A15*'Cereales y Legumbres'!L15/100</f>
        <v>0</v>
      </c>
      <c r="M71" s="4">
        <f>'Cereales y Legumbres'!$A15*'Cereales y Legumbres'!M15/100</f>
        <v>0</v>
      </c>
      <c r="N71" s="4">
        <f>'Cereales y Legumbres'!$A15*'Cereales y Legumbres'!N15/100</f>
        <v>0</v>
      </c>
      <c r="O71" s="4">
        <f>'Cereales y Legumbres'!$A15*'Cereales y Legumbres'!O15/100</f>
        <v>0</v>
      </c>
      <c r="P71" s="4">
        <f>'Cereales y Legumbres'!$A15*'Cereales y Legumbres'!P15/100</f>
        <v>0</v>
      </c>
      <c r="Q71" s="4">
        <f>'Cereales y Legumbres'!$A15*'Cereales y Legumbres'!Q15/100</f>
        <v>0</v>
      </c>
      <c r="R71" s="11">
        <f>'Cereales y Legumbres'!$A15*'Cereales y Legumbres'!R15/100</f>
        <v>0</v>
      </c>
      <c r="S71" s="11">
        <f>'Cereales y Legumbres'!$A15*'Cereales y Legumbres'!S15/100</f>
        <v>0</v>
      </c>
      <c r="T71" s="11">
        <f>'Cereales y Legumbres'!$A15*'Cereales y Legumbres'!T15/100</f>
        <v>0</v>
      </c>
      <c r="U71" s="11">
        <f>'Cereales y Legumbres'!$A15*'Cereales y Legumbres'!U15/100</f>
        <v>0</v>
      </c>
    </row>
    <row r="72" spans="1:22" x14ac:dyDescent="0.15">
      <c r="A72" s="10">
        <f>'Cereales y Legumbres'!A16</f>
        <v>0</v>
      </c>
      <c r="B72" s="4" t="str">
        <f>'Cereales y Legumbres'!B16</f>
        <v>Quinoa</v>
      </c>
      <c r="C72" s="4">
        <f>'Cereales y Legumbres'!$A16*'Cereales y Legumbres'!C16/100</f>
        <v>0</v>
      </c>
      <c r="D72" s="4">
        <f>'Cereales y Legumbres'!$A16*'Cereales y Legumbres'!D16/100</f>
        <v>0</v>
      </c>
      <c r="E72" s="4">
        <f>'Cereales y Legumbres'!$A16*'Cereales y Legumbres'!E16/100</f>
        <v>0</v>
      </c>
      <c r="F72" s="4">
        <f>'Cereales y Legumbres'!$A16*'Cereales y Legumbres'!F16/100</f>
        <v>0</v>
      </c>
      <c r="G72" s="4">
        <f>'Cereales y Legumbres'!$A16*'Cereales y Legumbres'!G16/100</f>
        <v>0</v>
      </c>
      <c r="H72" s="4">
        <f>'Cereales y Legumbres'!$A16*'Cereales y Legumbres'!H16/100</f>
        <v>0</v>
      </c>
      <c r="I72" s="4">
        <f>'Cereales y Legumbres'!$A16*'Cereales y Legumbres'!I16/100</f>
        <v>0</v>
      </c>
      <c r="J72" s="4">
        <f>'Cereales y Legumbres'!$A16*'Cereales y Legumbres'!J16/100</f>
        <v>0</v>
      </c>
      <c r="K72" s="4">
        <f>'Cereales y Legumbres'!$A16*'Cereales y Legumbres'!K16/100</f>
        <v>0</v>
      </c>
      <c r="L72" s="4">
        <f>'Cereales y Legumbres'!$A16*'Cereales y Legumbres'!L16/100</f>
        <v>0</v>
      </c>
      <c r="M72" s="4">
        <f>'Cereales y Legumbres'!$A16*'Cereales y Legumbres'!M16/100</f>
        <v>0</v>
      </c>
      <c r="N72" s="4">
        <f>'Cereales y Legumbres'!$A16*'Cereales y Legumbres'!N16/100</f>
        <v>0</v>
      </c>
      <c r="O72" s="4">
        <f>'Cereales y Legumbres'!$A16*'Cereales y Legumbres'!O16/100</f>
        <v>0</v>
      </c>
      <c r="P72" s="4">
        <f>'Cereales y Legumbres'!$A16*'Cereales y Legumbres'!P16/100</f>
        <v>0</v>
      </c>
      <c r="Q72" s="4">
        <f>'Cereales y Legumbres'!$A16*'Cereales y Legumbres'!Q16/100</f>
        <v>0</v>
      </c>
      <c r="R72" s="11">
        <f>'Cereales y Legumbres'!$A16*'Cereales y Legumbres'!R16/100</f>
        <v>0</v>
      </c>
      <c r="S72" s="11">
        <f>'Cereales y Legumbres'!$A16*'Cereales y Legumbres'!S16/100</f>
        <v>0</v>
      </c>
      <c r="T72" s="11">
        <f>'Cereales y Legumbres'!$A16*'Cereales y Legumbres'!T16/100</f>
        <v>0</v>
      </c>
      <c r="U72" s="11">
        <f>'Cereales y Legumbres'!$A16*'Cereales y Legumbres'!U16/100</f>
        <v>0</v>
      </c>
      <c r="V72" s="42"/>
    </row>
    <row r="73" spans="1:22" x14ac:dyDescent="0.15">
      <c r="A73" s="10">
        <f>'Cereales y Legumbres'!A17</f>
        <v>0</v>
      </c>
      <c r="B73" s="4" t="str">
        <f>'Cereales y Legumbres'!B17</f>
        <v>Muesli</v>
      </c>
      <c r="C73" s="4">
        <f>'Cereales y Legumbres'!$A17*'Cereales y Legumbres'!C17/100</f>
        <v>0</v>
      </c>
      <c r="D73" s="4">
        <f>'Cereales y Legumbres'!$A17*'Cereales y Legumbres'!D17/100</f>
        <v>0</v>
      </c>
      <c r="E73" s="4">
        <f>'Cereales y Legumbres'!$A17*'Cereales y Legumbres'!E17/100</f>
        <v>0</v>
      </c>
      <c r="F73" s="4">
        <f>'Cereales y Legumbres'!$A17*'Cereales y Legumbres'!F17/100</f>
        <v>0</v>
      </c>
      <c r="G73" s="4">
        <f>'Cereales y Legumbres'!$A17*'Cereales y Legumbres'!G17/100</f>
        <v>0</v>
      </c>
      <c r="H73" s="4">
        <f>'Cereales y Legumbres'!$A17*'Cereales y Legumbres'!H17/100</f>
        <v>0</v>
      </c>
      <c r="I73" s="4">
        <f>'Cereales y Legumbres'!$A17*'Cereales y Legumbres'!I17/100</f>
        <v>0</v>
      </c>
      <c r="J73" s="4">
        <f>'Cereales y Legumbres'!$A17*'Cereales y Legumbres'!J17/100</f>
        <v>0</v>
      </c>
      <c r="K73" s="4">
        <f>'Cereales y Legumbres'!$A17*'Cereales y Legumbres'!K17/100</f>
        <v>0</v>
      </c>
      <c r="L73" s="4">
        <f>'Cereales y Legumbres'!$A17*'Cereales y Legumbres'!L17/100</f>
        <v>0</v>
      </c>
      <c r="M73" s="4">
        <f>'Cereales y Legumbres'!$A17*'Cereales y Legumbres'!M17/100</f>
        <v>0</v>
      </c>
      <c r="N73" s="4">
        <f>'Cereales y Legumbres'!$A17*'Cereales y Legumbres'!N17/100</f>
        <v>0</v>
      </c>
      <c r="O73" s="4">
        <f>'Cereales y Legumbres'!$A17*'Cereales y Legumbres'!O17/100</f>
        <v>0</v>
      </c>
      <c r="P73" s="4">
        <f>'Cereales y Legumbres'!$A17*'Cereales y Legumbres'!P17/100</f>
        <v>0</v>
      </c>
      <c r="Q73" s="4">
        <f>'Cereales y Legumbres'!$A17*'Cereales y Legumbres'!Q17/100</f>
        <v>0</v>
      </c>
      <c r="R73" s="11">
        <f>'Cereales y Legumbres'!$A17*'Cereales y Legumbres'!R17/100</f>
        <v>0</v>
      </c>
      <c r="S73" s="11">
        <f>'Cereales y Legumbres'!$A17*'Cereales y Legumbres'!S17/100</f>
        <v>0</v>
      </c>
      <c r="T73" s="11">
        <f>'Cereales y Legumbres'!$A17*'Cereales y Legumbres'!T17/100</f>
        <v>0</v>
      </c>
      <c r="U73" s="11">
        <f>'Cereales y Legumbres'!$A17*'Cereales y Legumbres'!U17/100</f>
        <v>0</v>
      </c>
    </row>
    <row r="74" spans="1:22" x14ac:dyDescent="0.15">
      <c r="A74" s="10"/>
      <c r="B74" s="4"/>
      <c r="C74" s="4"/>
      <c r="D74" s="4"/>
      <c r="E74" s="4"/>
      <c r="F74" s="4"/>
      <c r="G74" s="4"/>
      <c r="H74" s="4"/>
      <c r="I74" s="4"/>
      <c r="J74" s="4"/>
      <c r="K74" s="4"/>
      <c r="L74" s="4"/>
      <c r="M74" s="4"/>
      <c r="N74" s="4"/>
      <c r="O74" s="4"/>
      <c r="P74" s="4"/>
      <c r="Q74" s="4"/>
      <c r="R74" s="11"/>
      <c r="S74" s="11"/>
      <c r="T74" s="11"/>
      <c r="U74" s="11"/>
    </row>
    <row r="75" spans="1:22" x14ac:dyDescent="0.15">
      <c r="A75" s="10"/>
      <c r="B75" s="4"/>
      <c r="C75" s="4"/>
      <c r="D75" s="4"/>
      <c r="E75" s="4"/>
      <c r="F75" s="4"/>
      <c r="G75" s="4"/>
      <c r="H75" s="4"/>
      <c r="I75" s="4"/>
      <c r="J75" s="4"/>
      <c r="K75" s="4"/>
      <c r="L75" s="4"/>
      <c r="M75" s="4"/>
      <c r="N75" s="4"/>
      <c r="O75" s="4"/>
      <c r="P75" s="4"/>
      <c r="Q75" s="4"/>
      <c r="R75" s="11"/>
      <c r="S75" s="11"/>
      <c r="T75" s="11"/>
      <c r="U75" s="11"/>
    </row>
    <row r="76" spans="1:22" x14ac:dyDescent="0.15">
      <c r="A76" s="10"/>
      <c r="B76" s="4"/>
      <c r="C76" s="4"/>
      <c r="D76" s="4"/>
      <c r="E76" s="4"/>
      <c r="F76" s="4"/>
      <c r="G76" s="4"/>
      <c r="H76" s="4"/>
      <c r="I76" s="4"/>
      <c r="J76" s="4"/>
      <c r="K76" s="4"/>
      <c r="L76" s="4"/>
      <c r="M76" s="4"/>
      <c r="N76" s="4"/>
      <c r="O76" s="4"/>
      <c r="P76" s="4"/>
      <c r="Q76" s="4"/>
      <c r="R76" s="11"/>
      <c r="S76" s="11"/>
      <c r="T76" s="11"/>
      <c r="U76" s="11"/>
    </row>
    <row r="77" spans="1:22" x14ac:dyDescent="0.15">
      <c r="A77" s="10"/>
      <c r="B77" s="4"/>
      <c r="C77" s="4"/>
      <c r="D77" s="4"/>
      <c r="E77" s="4"/>
      <c r="F77" s="4"/>
      <c r="G77" s="4"/>
      <c r="H77" s="4"/>
      <c r="I77" s="4"/>
      <c r="J77" s="4"/>
      <c r="K77" s="4"/>
      <c r="L77" s="4"/>
      <c r="M77" s="4"/>
      <c r="N77" s="4"/>
      <c r="O77" s="4"/>
      <c r="P77" s="4"/>
      <c r="Q77" s="4"/>
      <c r="R77" s="11"/>
      <c r="S77" s="11"/>
      <c r="T77" s="11"/>
      <c r="U77" s="11"/>
    </row>
    <row r="78" spans="1:22" x14ac:dyDescent="0.15">
      <c r="A78" s="10">
        <f>'Cereales y Legumbres'!A22</f>
        <v>0</v>
      </c>
      <c r="B78" s="4" t="str">
        <f>'Cereales y Legumbres'!B22</f>
        <v>Judias, en seco</v>
      </c>
      <c r="C78" s="4">
        <f>'Cereales y Legumbres'!$A22*'Cereales y Legumbres'!C22/100</f>
        <v>0</v>
      </c>
      <c r="D78" s="4">
        <f>'Cereales y Legumbres'!$A22*'Cereales y Legumbres'!D22/100</f>
        <v>0</v>
      </c>
      <c r="E78" s="4">
        <f>'Cereales y Legumbres'!$A22*'Cereales y Legumbres'!E22/100</f>
        <v>0</v>
      </c>
      <c r="F78" s="4">
        <f>'Cereales y Legumbres'!$A22*'Cereales y Legumbres'!F22/100</f>
        <v>0</v>
      </c>
      <c r="G78" s="4">
        <f>'Cereales y Legumbres'!$A22*'Cereales y Legumbres'!G22/100</f>
        <v>0</v>
      </c>
      <c r="H78" s="4">
        <f>'Cereales y Legumbres'!$A22*'Cereales y Legumbres'!H22/100</f>
        <v>0</v>
      </c>
      <c r="I78" s="4">
        <f>'Cereales y Legumbres'!$A22*'Cereales y Legumbres'!I22/100</f>
        <v>0</v>
      </c>
      <c r="J78" s="4">
        <f>'Cereales y Legumbres'!$A22*'Cereales y Legumbres'!J22/100</f>
        <v>0</v>
      </c>
      <c r="K78" s="4">
        <f>'Cereales y Legumbres'!$A22*'Cereales y Legumbres'!K22/100</f>
        <v>0</v>
      </c>
      <c r="L78" s="4">
        <f>'Cereales y Legumbres'!$A22*'Cereales y Legumbres'!L22/100</f>
        <v>0</v>
      </c>
      <c r="M78" s="4">
        <f>'Cereales y Legumbres'!$A22*'Cereales y Legumbres'!M22/100</f>
        <v>0</v>
      </c>
      <c r="N78" s="4">
        <f>'Cereales y Legumbres'!$A22*'Cereales y Legumbres'!N22/100</f>
        <v>0</v>
      </c>
      <c r="O78" s="4">
        <f>'Cereales y Legumbres'!$A22*'Cereales y Legumbres'!O22/100</f>
        <v>0</v>
      </c>
      <c r="P78" s="4">
        <f>'Cereales y Legumbres'!$A22*'Cereales y Legumbres'!P22/100</f>
        <v>0</v>
      </c>
      <c r="Q78" s="4">
        <f>'Cereales y Legumbres'!$A22*'Cereales y Legumbres'!Q22/100</f>
        <v>0</v>
      </c>
      <c r="R78" s="11">
        <f>'Cereales y Legumbres'!$A22*'Cereales y Legumbres'!R22/100</f>
        <v>0</v>
      </c>
      <c r="S78" s="11">
        <f>'Cereales y Legumbres'!$A22*'Cereales y Legumbres'!S22/100</f>
        <v>0</v>
      </c>
      <c r="T78" s="11">
        <f>'Cereales y Legumbres'!$A22*'Cereales y Legumbres'!T22/100</f>
        <v>0</v>
      </c>
      <c r="U78" s="11">
        <f>'Cereales y Legumbres'!$A22*'Cereales y Legumbres'!U22/100</f>
        <v>0</v>
      </c>
    </row>
    <row r="79" spans="1:22" x14ac:dyDescent="0.15">
      <c r="A79" s="10">
        <f>'Cereales y Legumbres'!A23</f>
        <v>0</v>
      </c>
      <c r="B79" s="4" t="str">
        <f>'Cereales y Legumbres'!B23</f>
        <v xml:space="preserve">Lentejas, en seco </v>
      </c>
      <c r="C79" s="4">
        <f>'Cereales y Legumbres'!$A23*'Cereales y Legumbres'!C23/100</f>
        <v>0</v>
      </c>
      <c r="D79" s="4">
        <f>'Cereales y Legumbres'!$A23*'Cereales y Legumbres'!D23/100</f>
        <v>0</v>
      </c>
      <c r="E79" s="4">
        <f>'Cereales y Legumbres'!$A23*'Cereales y Legumbres'!E23/100</f>
        <v>0</v>
      </c>
      <c r="F79" s="4">
        <f>'Cereales y Legumbres'!$A23*'Cereales y Legumbres'!F23/100</f>
        <v>0</v>
      </c>
      <c r="G79" s="4">
        <f>'Cereales y Legumbres'!$A23*'Cereales y Legumbres'!G23/100</f>
        <v>0</v>
      </c>
      <c r="H79" s="4">
        <f>'Cereales y Legumbres'!$A23*'Cereales y Legumbres'!H23/100</f>
        <v>0</v>
      </c>
      <c r="I79" s="4">
        <f>'Cereales y Legumbres'!$A23*'Cereales y Legumbres'!I23/100</f>
        <v>0</v>
      </c>
      <c r="J79" s="4">
        <f>'Cereales y Legumbres'!$A23*'Cereales y Legumbres'!J23/100</f>
        <v>0</v>
      </c>
      <c r="K79" s="4">
        <f>'Cereales y Legumbres'!$A23*'Cereales y Legumbres'!K23/100</f>
        <v>0</v>
      </c>
      <c r="L79" s="4">
        <f>'Cereales y Legumbres'!$A23*'Cereales y Legumbres'!L23/100</f>
        <v>0</v>
      </c>
      <c r="M79" s="4">
        <f>'Cereales y Legumbres'!$A23*'Cereales y Legumbres'!M23/100</f>
        <v>0</v>
      </c>
      <c r="N79" s="4">
        <f>'Cereales y Legumbres'!$A23*'Cereales y Legumbres'!N23/100</f>
        <v>0</v>
      </c>
      <c r="O79" s="4">
        <f>'Cereales y Legumbres'!$A23*'Cereales y Legumbres'!O23/100</f>
        <v>0</v>
      </c>
      <c r="P79" s="4">
        <f>'Cereales y Legumbres'!$A23*'Cereales y Legumbres'!P23/100</f>
        <v>0</v>
      </c>
      <c r="Q79" s="4">
        <f>'Cereales y Legumbres'!$A23*'Cereales y Legumbres'!Q23/100</f>
        <v>0</v>
      </c>
      <c r="R79" s="11">
        <f>'Cereales y Legumbres'!$A23*'Cereales y Legumbres'!R23/100</f>
        <v>0</v>
      </c>
      <c r="S79" s="11">
        <f>'Cereales y Legumbres'!$A23*'Cereales y Legumbres'!S23/100</f>
        <v>0</v>
      </c>
      <c r="T79" s="11">
        <f>'Cereales y Legumbres'!$A23*'Cereales y Legumbres'!T23/100</f>
        <v>0</v>
      </c>
      <c r="U79" s="11">
        <f>'Cereales y Legumbres'!$A23*'Cereales y Legumbres'!U23/100</f>
        <v>0</v>
      </c>
    </row>
    <row r="80" spans="1:22" x14ac:dyDescent="0.15">
      <c r="A80" s="10">
        <f>'Cereales y Legumbres'!A24</f>
        <v>0</v>
      </c>
      <c r="B80" s="4" t="str">
        <f>'Cereales y Legumbres'!B24</f>
        <v>Garbanzos, en seco</v>
      </c>
      <c r="C80" s="4">
        <f>'Cereales y Legumbres'!$A24*'Cereales y Legumbres'!C24/100</f>
        <v>0</v>
      </c>
      <c r="D80" s="4">
        <f>'Cereales y Legumbres'!$A24*'Cereales y Legumbres'!D24/100</f>
        <v>0</v>
      </c>
      <c r="E80" s="4">
        <f>'Cereales y Legumbres'!$A24*'Cereales y Legumbres'!E24/100</f>
        <v>0</v>
      </c>
      <c r="F80" s="4">
        <f>'Cereales y Legumbres'!$A24*'Cereales y Legumbres'!F24/100</f>
        <v>0</v>
      </c>
      <c r="G80" s="4">
        <f>'Cereales y Legumbres'!$A24*'Cereales y Legumbres'!G24/100</f>
        <v>0</v>
      </c>
      <c r="H80" s="4">
        <f>'Cereales y Legumbres'!$A24*'Cereales y Legumbres'!H24/100</f>
        <v>0</v>
      </c>
      <c r="I80" s="4">
        <f>'Cereales y Legumbres'!$A24*'Cereales y Legumbres'!I24/100</f>
        <v>0</v>
      </c>
      <c r="J80" s="4">
        <f>'Cereales y Legumbres'!$A24*'Cereales y Legumbres'!J24/100</f>
        <v>0</v>
      </c>
      <c r="K80" s="4">
        <f>'Cereales y Legumbres'!$A24*'Cereales y Legumbres'!K24/100</f>
        <v>0</v>
      </c>
      <c r="L80" s="4">
        <f>'Cereales y Legumbres'!$A24*'Cereales y Legumbres'!L24/100</f>
        <v>0</v>
      </c>
      <c r="M80" s="4">
        <f>'Cereales y Legumbres'!$A24*'Cereales y Legumbres'!M24/100</f>
        <v>0</v>
      </c>
      <c r="N80" s="4">
        <f>'Cereales y Legumbres'!$A24*'Cereales y Legumbres'!N24/100</f>
        <v>0</v>
      </c>
      <c r="O80" s="4">
        <f>'Cereales y Legumbres'!$A24*'Cereales y Legumbres'!O24/100</f>
        <v>0</v>
      </c>
      <c r="P80" s="4">
        <f>'Cereales y Legumbres'!$A24*'Cereales y Legumbres'!P24/100</f>
        <v>0</v>
      </c>
      <c r="Q80" s="4">
        <f>'Cereales y Legumbres'!$A24*'Cereales y Legumbres'!Q24/100</f>
        <v>0</v>
      </c>
      <c r="R80" s="11">
        <f>'Cereales y Legumbres'!$A24*'Cereales y Legumbres'!R24/100</f>
        <v>0</v>
      </c>
      <c r="S80" s="11">
        <f>'Cereales y Legumbres'!$A24*'Cereales y Legumbres'!S24/100</f>
        <v>0</v>
      </c>
      <c r="T80" s="11">
        <f>'Cereales y Legumbres'!$A24*'Cereales y Legumbres'!T24/100</f>
        <v>0</v>
      </c>
      <c r="U80" s="11">
        <f>'Cereales y Legumbres'!$A24*'Cereales y Legumbres'!U24/100</f>
        <v>0</v>
      </c>
    </row>
    <row r="81" spans="1:21" x14ac:dyDescent="0.15">
      <c r="A81" s="10">
        <f>'Cereales y Legumbres'!A25</f>
        <v>0</v>
      </c>
      <c r="B81" s="4" t="str">
        <f>'Cereales y Legumbres'!B25</f>
        <v xml:space="preserve">Guisante congelado, crudo </v>
      </c>
      <c r="C81" s="4">
        <f>'Cereales y Legumbres'!$A25*'Cereales y Legumbres'!C25/100</f>
        <v>0</v>
      </c>
      <c r="D81" s="4">
        <f>'Cereales y Legumbres'!$A25*'Cereales y Legumbres'!D25/100</f>
        <v>0</v>
      </c>
      <c r="E81" s="4">
        <f>'Cereales y Legumbres'!$A25*'Cereales y Legumbres'!E25/100</f>
        <v>0</v>
      </c>
      <c r="F81" s="4">
        <f>'Cereales y Legumbres'!$A25*'Cereales y Legumbres'!F25/100</f>
        <v>0</v>
      </c>
      <c r="G81" s="4">
        <f>'Cereales y Legumbres'!$A25*'Cereales y Legumbres'!G25/100</f>
        <v>0</v>
      </c>
      <c r="H81" s="4">
        <f>'Cereales y Legumbres'!$A25*'Cereales y Legumbres'!H25/100</f>
        <v>0</v>
      </c>
      <c r="I81" s="4">
        <f>'Cereales y Legumbres'!$A25*'Cereales y Legumbres'!I25/100</f>
        <v>0</v>
      </c>
      <c r="J81" s="4">
        <f>'Cereales y Legumbres'!$A25*'Cereales y Legumbres'!J25/100</f>
        <v>0</v>
      </c>
      <c r="K81" s="4">
        <f>'Cereales y Legumbres'!$A25*'Cereales y Legumbres'!K25/100</f>
        <v>0</v>
      </c>
      <c r="L81" s="4">
        <f>'Cereales y Legumbres'!$A25*'Cereales y Legumbres'!L25/100</f>
        <v>0</v>
      </c>
      <c r="M81" s="4">
        <f>'Cereales y Legumbres'!$A25*'Cereales y Legumbres'!M25/100</f>
        <v>0</v>
      </c>
      <c r="N81" s="4">
        <f>'Cereales y Legumbres'!$A25*'Cereales y Legumbres'!N25/100</f>
        <v>0</v>
      </c>
      <c r="O81" s="4">
        <f>'Cereales y Legumbres'!$A25*'Cereales y Legumbres'!O25/100</f>
        <v>0</v>
      </c>
      <c r="P81" s="4">
        <f>'Cereales y Legumbres'!$A25*'Cereales y Legumbres'!P25/100</f>
        <v>0</v>
      </c>
      <c r="Q81" s="4">
        <f>'Cereales y Legumbres'!$A25*'Cereales y Legumbres'!Q25/100</f>
        <v>0</v>
      </c>
      <c r="R81" s="11">
        <f>'Cereales y Legumbres'!$A25*'Cereales y Legumbres'!R25/100</f>
        <v>0</v>
      </c>
      <c r="S81" s="11">
        <f>'Cereales y Legumbres'!$A25*'Cereales y Legumbres'!S25/100</f>
        <v>0</v>
      </c>
      <c r="T81" s="11">
        <f>'Cereales y Legumbres'!$A25*'Cereales y Legumbres'!T25/100</f>
        <v>0</v>
      </c>
      <c r="U81" s="11">
        <f>'Cereales y Legumbres'!$A25*'Cereales y Legumbres'!U25/100</f>
        <v>0</v>
      </c>
    </row>
    <row r="82" spans="1:21" x14ac:dyDescent="0.15">
      <c r="A82" s="10">
        <f>'Cereales y Legumbres'!A26</f>
        <v>0</v>
      </c>
      <c r="B82" s="4" t="str">
        <f>'Cereales y Legumbres'!B26</f>
        <v>Judias en conserva (bote)</v>
      </c>
      <c r="C82" s="4">
        <f>'Cereales y Legumbres'!$A26*'Cereales y Legumbres'!C26/100</f>
        <v>0</v>
      </c>
      <c r="D82" s="4">
        <f>'Cereales y Legumbres'!$A26*'Cereales y Legumbres'!D26/100</f>
        <v>0</v>
      </c>
      <c r="E82" s="4">
        <f>'Cereales y Legumbres'!$A26*'Cereales y Legumbres'!E26/100</f>
        <v>0</v>
      </c>
      <c r="F82" s="4">
        <f>'Cereales y Legumbres'!$A26*'Cereales y Legumbres'!F26/100</f>
        <v>0</v>
      </c>
      <c r="G82" s="4">
        <f>'Cereales y Legumbres'!$A26*'Cereales y Legumbres'!G26/100</f>
        <v>0</v>
      </c>
      <c r="H82" s="4">
        <f>'Cereales y Legumbres'!$A26*'Cereales y Legumbres'!H26/100</f>
        <v>0</v>
      </c>
      <c r="I82" s="4">
        <f>'Cereales y Legumbres'!$A26*'Cereales y Legumbres'!I26/100</f>
        <v>0</v>
      </c>
      <c r="J82" s="4">
        <f>'Cereales y Legumbres'!$A26*'Cereales y Legumbres'!J26/100</f>
        <v>0</v>
      </c>
      <c r="K82" s="4">
        <f>'Cereales y Legumbres'!$A26*'Cereales y Legumbres'!K26/100</f>
        <v>0</v>
      </c>
      <c r="L82" s="4">
        <f>'Cereales y Legumbres'!$A26*'Cereales y Legumbres'!L26/100</f>
        <v>0</v>
      </c>
      <c r="M82" s="4">
        <f>'Cereales y Legumbres'!$A26*'Cereales y Legumbres'!M26/100</f>
        <v>0</v>
      </c>
      <c r="N82" s="4">
        <f>'Cereales y Legumbres'!$A26*'Cereales y Legumbres'!N26/100</f>
        <v>0</v>
      </c>
      <c r="O82" s="4">
        <f>'Cereales y Legumbres'!$A26*'Cereales y Legumbres'!O26/100</f>
        <v>0</v>
      </c>
      <c r="P82" s="4">
        <f>'Cereales y Legumbres'!$A26*'Cereales y Legumbres'!P26/100</f>
        <v>0</v>
      </c>
      <c r="Q82" s="4">
        <f>'Cereales y Legumbres'!$A26*'Cereales y Legumbres'!Q26/100</f>
        <v>0</v>
      </c>
      <c r="R82" s="11">
        <f>'Cereales y Legumbres'!$A26*'Cereales y Legumbres'!R26/100</f>
        <v>0</v>
      </c>
      <c r="S82" s="11">
        <f>'Cereales y Legumbres'!$A26*'Cereales y Legumbres'!S26/100</f>
        <v>0</v>
      </c>
      <c r="T82" s="11">
        <f>'Cereales y Legumbres'!$A26*'Cereales y Legumbres'!T26/100</f>
        <v>0</v>
      </c>
      <c r="U82" s="11">
        <f>'Cereales y Legumbres'!$A26*'Cereales y Legumbres'!U26/100</f>
        <v>0</v>
      </c>
    </row>
    <row r="83" spans="1:21" x14ac:dyDescent="0.15">
      <c r="A83" s="10">
        <f>'Cereales y Legumbres'!A27</f>
        <v>0</v>
      </c>
      <c r="B83" s="4" t="str">
        <f>'Cereales y Legumbres'!B27</f>
        <v>Lentejas en conserva (bote)</v>
      </c>
      <c r="C83" s="4">
        <f>'Cereales y Legumbres'!$A27*'Cereales y Legumbres'!C27/100</f>
        <v>0</v>
      </c>
      <c r="D83" s="4">
        <f>'Cereales y Legumbres'!$A27*'Cereales y Legumbres'!D27/100</f>
        <v>0</v>
      </c>
      <c r="E83" s="4">
        <f>'Cereales y Legumbres'!$A27*'Cereales y Legumbres'!E27/100</f>
        <v>0</v>
      </c>
      <c r="F83" s="4">
        <f>'Cereales y Legumbres'!$A27*'Cereales y Legumbres'!F27/100</f>
        <v>0</v>
      </c>
      <c r="G83" s="4">
        <f>'Cereales y Legumbres'!$A27*'Cereales y Legumbres'!G27/100</f>
        <v>0</v>
      </c>
      <c r="H83" s="4">
        <f>'Cereales y Legumbres'!$A27*'Cereales y Legumbres'!H27/100</f>
        <v>0</v>
      </c>
      <c r="I83" s="4">
        <f>'Cereales y Legumbres'!$A27*'Cereales y Legumbres'!I27/100</f>
        <v>0</v>
      </c>
      <c r="J83" s="4">
        <f>'Cereales y Legumbres'!$A27*'Cereales y Legumbres'!J27/100</f>
        <v>0</v>
      </c>
      <c r="K83" s="4">
        <f>'Cereales y Legumbres'!$A27*'Cereales y Legumbres'!K27/100</f>
        <v>0</v>
      </c>
      <c r="L83" s="4">
        <f>'Cereales y Legumbres'!$A27*'Cereales y Legumbres'!L27/100</f>
        <v>0</v>
      </c>
      <c r="M83" s="4">
        <f>'Cereales y Legumbres'!$A27*'Cereales y Legumbres'!M27/100</f>
        <v>0</v>
      </c>
      <c r="N83" s="4">
        <f>'Cereales y Legumbres'!$A27*'Cereales y Legumbres'!N27/100</f>
        <v>0</v>
      </c>
      <c r="O83" s="4">
        <f>'Cereales y Legumbres'!$A27*'Cereales y Legumbres'!O27/100</f>
        <v>0</v>
      </c>
      <c r="P83" s="4">
        <f>'Cereales y Legumbres'!$A27*'Cereales y Legumbres'!P27/100</f>
        <v>0</v>
      </c>
      <c r="Q83" s="4">
        <f>'Cereales y Legumbres'!$A27*'Cereales y Legumbres'!Q27/100</f>
        <v>0</v>
      </c>
      <c r="R83" s="11">
        <f>'Cereales y Legumbres'!$A27*'Cereales y Legumbres'!R27/100</f>
        <v>0</v>
      </c>
      <c r="S83" s="11">
        <f>'Cereales y Legumbres'!$A27*'Cereales y Legumbres'!S27/100</f>
        <v>0</v>
      </c>
      <c r="T83" s="11">
        <f>'Cereales y Legumbres'!$A27*'Cereales y Legumbres'!T27/100</f>
        <v>0</v>
      </c>
      <c r="U83" s="11">
        <f>'Cereales y Legumbres'!$A27*'Cereales y Legumbres'!U27/100</f>
        <v>0</v>
      </c>
    </row>
    <row r="84" spans="1:21" x14ac:dyDescent="0.15">
      <c r="A84" s="10">
        <f>'Cereales y Legumbres'!A28</f>
        <v>0</v>
      </c>
      <c r="B84" s="4" t="str">
        <f>'Cereales y Legumbres'!B28</f>
        <v>Garbanzos en conserva (bote)</v>
      </c>
      <c r="C84" s="4">
        <f>'Cereales y Legumbres'!$A28*'Cereales y Legumbres'!C28/100</f>
        <v>0</v>
      </c>
      <c r="D84" s="4">
        <f>'Cereales y Legumbres'!$A28*'Cereales y Legumbres'!D28/100</f>
        <v>0</v>
      </c>
      <c r="E84" s="4">
        <f>'Cereales y Legumbres'!$A28*'Cereales y Legumbres'!E28/100</f>
        <v>0</v>
      </c>
      <c r="F84" s="4">
        <f>'Cereales y Legumbres'!$A28*'Cereales y Legumbres'!F28/100</f>
        <v>0</v>
      </c>
      <c r="G84" s="4">
        <f>'Cereales y Legumbres'!$A28*'Cereales y Legumbres'!G28/100</f>
        <v>0</v>
      </c>
      <c r="H84" s="4">
        <f>'Cereales y Legumbres'!$A28*'Cereales y Legumbres'!H28/100</f>
        <v>0</v>
      </c>
      <c r="I84" s="4">
        <f>'Cereales y Legumbres'!$A28*'Cereales y Legumbres'!I28/100</f>
        <v>0</v>
      </c>
      <c r="J84" s="4">
        <f>'Cereales y Legumbres'!$A28*'Cereales y Legumbres'!J28/100</f>
        <v>0</v>
      </c>
      <c r="K84" s="4">
        <f>'Cereales y Legumbres'!$A28*'Cereales y Legumbres'!K28/100</f>
        <v>0</v>
      </c>
      <c r="L84" s="4">
        <f>'Cereales y Legumbres'!$A28*'Cereales y Legumbres'!L28/100</f>
        <v>0</v>
      </c>
      <c r="M84" s="4">
        <f>'Cereales y Legumbres'!$A28*'Cereales y Legumbres'!M28/100</f>
        <v>0</v>
      </c>
      <c r="N84" s="4">
        <f>'Cereales y Legumbres'!$A28*'Cereales y Legumbres'!N28/100</f>
        <v>0</v>
      </c>
      <c r="O84" s="4">
        <f>'Cereales y Legumbres'!$A28*'Cereales y Legumbres'!O28/100</f>
        <v>0</v>
      </c>
      <c r="P84" s="4">
        <f>'Cereales y Legumbres'!$A28*'Cereales y Legumbres'!P28/100</f>
        <v>0</v>
      </c>
      <c r="Q84" s="4">
        <f>'Cereales y Legumbres'!$A28*'Cereales y Legumbres'!Q28/100</f>
        <v>0</v>
      </c>
      <c r="R84" s="11">
        <f>'Cereales y Legumbres'!$A28*'Cereales y Legumbres'!R28/100</f>
        <v>0</v>
      </c>
      <c r="S84" s="11">
        <f>'Cereales y Legumbres'!$A28*'Cereales y Legumbres'!S28/100</f>
        <v>0</v>
      </c>
      <c r="T84" s="11">
        <f>'Cereales y Legumbres'!$A28*'Cereales y Legumbres'!T28/100</f>
        <v>0</v>
      </c>
      <c r="U84" s="11">
        <f>'Cereales y Legumbres'!$A28*'Cereales y Legumbres'!U28/100</f>
        <v>0</v>
      </c>
    </row>
    <row r="85" spans="1:21" x14ac:dyDescent="0.15">
      <c r="A85" s="10">
        <f>'Verduras y Frutas'!A4</f>
        <v>250</v>
      </c>
      <c r="B85" s="4" t="str">
        <f>'Verduras y Frutas'!B4</f>
        <v>Patatas</v>
      </c>
      <c r="C85" s="4">
        <f>'Verduras y Frutas'!$A4*'Verduras y Frutas'!C4/100</f>
        <v>197.5</v>
      </c>
      <c r="D85" s="4">
        <f>'Verduras y Frutas'!$A4*'Verduras y Frutas'!D4/100</f>
        <v>205</v>
      </c>
      <c r="E85" s="4">
        <f>'Verduras y Frutas'!$A4*'Verduras y Frutas'!E4/100</f>
        <v>5.5</v>
      </c>
      <c r="F85" s="4">
        <f>'Verduras y Frutas'!$A4*'Verduras y Frutas'!F4/100</f>
        <v>0.5</v>
      </c>
      <c r="G85" s="4">
        <f>'Verduras y Frutas'!$A4*'Verduras y Frutas'!G4/100</f>
        <v>45</v>
      </c>
      <c r="H85" s="4">
        <f>'Verduras y Frutas'!$A4*'Verduras y Frutas'!H4/100</f>
        <v>17.5</v>
      </c>
      <c r="I85" s="4">
        <f>'Verduras y Frutas'!$A4*'Verduras y Frutas'!I4/100</f>
        <v>825</v>
      </c>
      <c r="J85" s="4">
        <f>'Verduras y Frutas'!$A4*'Verduras y Frutas'!J4/100</f>
        <v>72.5</v>
      </c>
      <c r="K85" s="4">
        <f>'Verduras y Frutas'!$A4*'Verduras y Frutas'!K4/100</f>
        <v>25</v>
      </c>
      <c r="L85" s="4">
        <f>'Verduras y Frutas'!$A4*'Verduras y Frutas'!L4/100</f>
        <v>2</v>
      </c>
      <c r="M85" s="4">
        <f>'Verduras y Frutas'!$A4*'Verduras y Frutas'!M4/100</f>
        <v>10</v>
      </c>
      <c r="N85" s="4">
        <f>'Verduras y Frutas'!$A4*'Verduras y Frutas'!N4/100</f>
        <v>0.25</v>
      </c>
      <c r="O85" s="4">
        <f>'Verduras y Frutas'!$A4*'Verduras y Frutas'!O4/100</f>
        <v>0.1</v>
      </c>
      <c r="P85" s="4">
        <f>'Verduras y Frutas'!$A4*'Verduras y Frutas'!P4/100</f>
        <v>3.25</v>
      </c>
      <c r="Q85" s="4">
        <f>'Verduras y Frutas'!$A4*'Verduras y Frutas'!Q4/100</f>
        <v>0</v>
      </c>
      <c r="R85" s="11">
        <f>'Verduras y Frutas'!$A4*'Verduras y Frutas'!R4/100</f>
        <v>0</v>
      </c>
      <c r="S85" s="11">
        <f>'Verduras y Frutas'!$A4*'Verduras y Frutas'!S4/100</f>
        <v>0.25</v>
      </c>
      <c r="T85" s="11">
        <f>'Verduras y Frutas'!$A4*'Verduras y Frutas'!T4/100</f>
        <v>0</v>
      </c>
      <c r="U85" s="11">
        <f>'Verduras y Frutas'!$A4*'Verduras y Frutas'!U4/100</f>
        <v>50</v>
      </c>
    </row>
    <row r="86" spans="1:21" x14ac:dyDescent="0.15">
      <c r="A86" s="10">
        <f>'Verduras y Frutas'!A5</f>
        <v>0</v>
      </c>
      <c r="B86" s="4" t="str">
        <f>'Verduras y Frutas'!B5</f>
        <v>Zanahoria</v>
      </c>
      <c r="C86" s="4">
        <f>'Verduras y Frutas'!$A5*'Verduras y Frutas'!C5/100</f>
        <v>0</v>
      </c>
      <c r="D86" s="4">
        <f>'Verduras y Frutas'!$A5*'Verduras y Frutas'!D5/100</f>
        <v>0</v>
      </c>
      <c r="E86" s="4">
        <f>'Verduras y Frutas'!$A5*'Verduras y Frutas'!E5/100</f>
        <v>0</v>
      </c>
      <c r="F86" s="4">
        <f>'Verduras y Frutas'!$A5*'Verduras y Frutas'!F5/100</f>
        <v>0</v>
      </c>
      <c r="G86" s="4">
        <f>'Verduras y Frutas'!$A5*'Verduras y Frutas'!G5/100</f>
        <v>0</v>
      </c>
      <c r="H86" s="4">
        <f>'Verduras y Frutas'!$A5*'Verduras y Frutas'!H5/100</f>
        <v>0</v>
      </c>
      <c r="I86" s="4">
        <f>'Verduras y Frutas'!$A5*'Verduras y Frutas'!I5/100</f>
        <v>0</v>
      </c>
      <c r="J86" s="4">
        <f>'Verduras y Frutas'!$A5*'Verduras y Frutas'!J5/100</f>
        <v>0</v>
      </c>
      <c r="K86" s="4">
        <f>'Verduras y Frutas'!$A5*'Verduras y Frutas'!K5/100</f>
        <v>0</v>
      </c>
      <c r="L86" s="4">
        <f>'Verduras y Frutas'!$A5*'Verduras y Frutas'!L5/100</f>
        <v>0</v>
      </c>
      <c r="M86" s="4">
        <f>'Verduras y Frutas'!$A5*'Verduras y Frutas'!M5/100</f>
        <v>0</v>
      </c>
      <c r="N86" s="4">
        <f>'Verduras y Frutas'!$A5*'Verduras y Frutas'!N5/100</f>
        <v>0</v>
      </c>
      <c r="O86" s="4">
        <f>'Verduras y Frutas'!$A5*'Verduras y Frutas'!O5/100</f>
        <v>0</v>
      </c>
      <c r="P86" s="4">
        <f>'Verduras y Frutas'!$A5*'Verduras y Frutas'!P5/100</f>
        <v>0</v>
      </c>
      <c r="Q86" s="4">
        <f>'Verduras y Frutas'!$A5*'Verduras y Frutas'!Q5/100</f>
        <v>0</v>
      </c>
      <c r="R86" s="11">
        <f>'Verduras y Frutas'!$A5*'Verduras y Frutas'!R5/100</f>
        <v>0</v>
      </c>
      <c r="S86" s="11">
        <f>'Verduras y Frutas'!$A5*'Verduras y Frutas'!S5/100</f>
        <v>0</v>
      </c>
      <c r="T86" s="11">
        <f>'Verduras y Frutas'!$A5*'Verduras y Frutas'!T5/100</f>
        <v>0</v>
      </c>
      <c r="U86" s="11">
        <f>'Verduras y Frutas'!$A5*'Verduras y Frutas'!U5/100</f>
        <v>0</v>
      </c>
    </row>
    <row r="87" spans="1:21" x14ac:dyDescent="0.15">
      <c r="A87" s="10">
        <f>'Verduras y Frutas'!A6</f>
        <v>0</v>
      </c>
      <c r="B87" s="4" t="str">
        <f>'Verduras y Frutas'!B6</f>
        <v>Coles y Verduras de hoja</v>
      </c>
      <c r="C87" s="4">
        <f>'Verduras y Frutas'!$A6*'Verduras y Frutas'!C6/100</f>
        <v>0</v>
      </c>
      <c r="D87" s="4">
        <f>'Verduras y Frutas'!$A6*'Verduras y Frutas'!D6/100</f>
        <v>0</v>
      </c>
      <c r="E87" s="4">
        <f>'Verduras y Frutas'!$A6*'Verduras y Frutas'!E6/100</f>
        <v>0</v>
      </c>
      <c r="F87" s="4">
        <f>'Verduras y Frutas'!$A6*'Verduras y Frutas'!F6/100</f>
        <v>0</v>
      </c>
      <c r="G87" s="4">
        <f>'Verduras y Frutas'!$A6*'Verduras y Frutas'!G6/100</f>
        <v>0</v>
      </c>
      <c r="H87" s="4">
        <f>'Verduras y Frutas'!$A6*'Verduras y Frutas'!H6/100</f>
        <v>0</v>
      </c>
      <c r="I87" s="4">
        <f>'Verduras y Frutas'!$A6*'Verduras y Frutas'!I6/100</f>
        <v>0</v>
      </c>
      <c r="J87" s="4">
        <f>'Verduras y Frutas'!$A6*'Verduras y Frutas'!J6/100</f>
        <v>0</v>
      </c>
      <c r="K87" s="4">
        <f>'Verduras y Frutas'!$A6*'Verduras y Frutas'!K6/100</f>
        <v>0</v>
      </c>
      <c r="L87" s="4">
        <f>'Verduras y Frutas'!$A6*'Verduras y Frutas'!L6/100</f>
        <v>0</v>
      </c>
      <c r="M87" s="4">
        <f>'Verduras y Frutas'!$A6*'Verduras y Frutas'!M6/100</f>
        <v>0</v>
      </c>
      <c r="N87" s="4">
        <f>'Verduras y Frutas'!$A6*'Verduras y Frutas'!N6/100</f>
        <v>0</v>
      </c>
      <c r="O87" s="4">
        <f>'Verduras y Frutas'!$A6*'Verduras y Frutas'!O6/100</f>
        <v>0</v>
      </c>
      <c r="P87" s="4">
        <f>'Verduras y Frutas'!$A6*'Verduras y Frutas'!P6/100</f>
        <v>0</v>
      </c>
      <c r="Q87" s="4">
        <f>'Verduras y Frutas'!$A6*'Verduras y Frutas'!Q6/100</f>
        <v>0</v>
      </c>
      <c r="R87" s="11">
        <f>'Verduras y Frutas'!$A6*'Verduras y Frutas'!R6/100</f>
        <v>0</v>
      </c>
      <c r="S87" s="11">
        <f>'Verduras y Frutas'!$A6*'Verduras y Frutas'!S6/100</f>
        <v>0</v>
      </c>
      <c r="T87" s="11">
        <f>'Verduras y Frutas'!$A6*'Verduras y Frutas'!T6/100</f>
        <v>0</v>
      </c>
      <c r="U87" s="11">
        <f>'Verduras y Frutas'!$A6*'Verduras y Frutas'!U6/100</f>
        <v>0</v>
      </c>
    </row>
    <row r="88" spans="1:21" x14ac:dyDescent="0.15">
      <c r="A88" s="10">
        <f>'Verduras y Frutas'!A7</f>
        <v>0</v>
      </c>
      <c r="B88" s="4" t="str">
        <f>'Verduras y Frutas'!B7</f>
        <v>Brocoli</v>
      </c>
      <c r="C88" s="4">
        <f>'Verduras y Frutas'!$A7*'Verduras y Frutas'!C7/100</f>
        <v>0</v>
      </c>
      <c r="D88" s="4">
        <f>'Verduras y Frutas'!$A7*'Verduras y Frutas'!D7/100</f>
        <v>0</v>
      </c>
      <c r="E88" s="4">
        <f>'Verduras y Frutas'!$A7*'Verduras y Frutas'!E7/100</f>
        <v>0</v>
      </c>
      <c r="F88" s="4">
        <f>'Verduras y Frutas'!$A7*'Verduras y Frutas'!F7/100</f>
        <v>0</v>
      </c>
      <c r="G88" s="4">
        <f>'Verduras y Frutas'!$A7*'Verduras y Frutas'!G7/100</f>
        <v>0</v>
      </c>
      <c r="H88" s="4">
        <f>'Verduras y Frutas'!$A7*'Verduras y Frutas'!H7/100</f>
        <v>0</v>
      </c>
      <c r="I88" s="4">
        <f>'Verduras y Frutas'!$A7*'Verduras y Frutas'!I7/100</f>
        <v>0</v>
      </c>
      <c r="J88" s="4">
        <f>'Verduras y Frutas'!$A7*'Verduras y Frutas'!J7/100</f>
        <v>0</v>
      </c>
      <c r="K88" s="4">
        <f>'Verduras y Frutas'!$A7*'Verduras y Frutas'!K7/100</f>
        <v>0</v>
      </c>
      <c r="L88" s="4">
        <f>'Verduras y Frutas'!$A7*'Verduras y Frutas'!L7/100</f>
        <v>0</v>
      </c>
      <c r="M88" s="4">
        <f>'Verduras y Frutas'!$A7*'Verduras y Frutas'!M7/100</f>
        <v>0</v>
      </c>
      <c r="N88" s="4">
        <f>'Verduras y Frutas'!$A7*'Verduras y Frutas'!N7/100</f>
        <v>0</v>
      </c>
      <c r="O88" s="4">
        <f>'Verduras y Frutas'!$A7*'Verduras y Frutas'!O7/100</f>
        <v>0</v>
      </c>
      <c r="P88" s="4">
        <f>'Verduras y Frutas'!$A7*'Verduras y Frutas'!P7/100</f>
        <v>0</v>
      </c>
      <c r="Q88" s="4">
        <f>'Verduras y Frutas'!$A7*'Verduras y Frutas'!Q7/100</f>
        <v>0</v>
      </c>
      <c r="R88" s="11">
        <f>'Verduras y Frutas'!$A7*'Verduras y Frutas'!R7/100</f>
        <v>0</v>
      </c>
      <c r="S88" s="11">
        <f>'Verduras y Frutas'!$A7*'Verduras y Frutas'!S7/100</f>
        <v>0</v>
      </c>
      <c r="T88" s="11">
        <f>'Verduras y Frutas'!$A7*'Verduras y Frutas'!T7/100</f>
        <v>0</v>
      </c>
      <c r="U88" s="11">
        <f>'Verduras y Frutas'!$A7*'Verduras y Frutas'!U7/100</f>
        <v>0</v>
      </c>
    </row>
    <row r="89" spans="1:21" x14ac:dyDescent="0.15">
      <c r="A89" s="10">
        <f>'Verduras y Frutas'!A8</f>
        <v>0</v>
      </c>
      <c r="B89" s="4" t="str">
        <f>'Verduras y Frutas'!B8</f>
        <v>Lechuga, endivias y escarolas</v>
      </c>
      <c r="C89" s="4">
        <f>'Verduras y Frutas'!$A8*'Verduras y Frutas'!C8/100</f>
        <v>0</v>
      </c>
      <c r="D89" s="4">
        <f>'Verduras y Frutas'!$A8*'Verduras y Frutas'!D8/100</f>
        <v>0</v>
      </c>
      <c r="E89" s="4">
        <f>'Verduras y Frutas'!$A8*'Verduras y Frutas'!E8/100</f>
        <v>0</v>
      </c>
      <c r="F89" s="4">
        <f>'Verduras y Frutas'!$A8*'Verduras y Frutas'!F8/100</f>
        <v>0</v>
      </c>
      <c r="G89" s="4">
        <f>'Verduras y Frutas'!$A8*'Verduras y Frutas'!G8/100</f>
        <v>0</v>
      </c>
      <c r="H89" s="4">
        <f>'Verduras y Frutas'!$A8*'Verduras y Frutas'!H8/100</f>
        <v>0</v>
      </c>
      <c r="I89" s="4">
        <f>'Verduras y Frutas'!$A8*'Verduras y Frutas'!I8/100</f>
        <v>0</v>
      </c>
      <c r="J89" s="4">
        <f>'Verduras y Frutas'!$A8*'Verduras y Frutas'!J8/100</f>
        <v>0</v>
      </c>
      <c r="K89" s="4">
        <f>'Verduras y Frutas'!$A8*'Verduras y Frutas'!K8/100</f>
        <v>0</v>
      </c>
      <c r="L89" s="4">
        <f>'Verduras y Frutas'!$A8*'Verduras y Frutas'!L8/100</f>
        <v>0</v>
      </c>
      <c r="M89" s="4">
        <f>'Verduras y Frutas'!$A8*'Verduras y Frutas'!M8/100</f>
        <v>0</v>
      </c>
      <c r="N89" s="4">
        <f>'Verduras y Frutas'!$A8*'Verduras y Frutas'!N8/100</f>
        <v>0</v>
      </c>
      <c r="O89" s="4">
        <f>'Verduras y Frutas'!$A8*'Verduras y Frutas'!O8/100</f>
        <v>0</v>
      </c>
      <c r="P89" s="4">
        <f>'Verduras y Frutas'!$A8*'Verduras y Frutas'!P8/100</f>
        <v>0</v>
      </c>
      <c r="Q89" s="4">
        <f>'Verduras y Frutas'!$A8*'Verduras y Frutas'!Q8/100</f>
        <v>0</v>
      </c>
      <c r="R89" s="11">
        <f>'Verduras y Frutas'!$A8*'Verduras y Frutas'!R8/100</f>
        <v>0</v>
      </c>
      <c r="S89" s="11">
        <f>'Verduras y Frutas'!$A8*'Verduras y Frutas'!S8/100</f>
        <v>0</v>
      </c>
      <c r="T89" s="11">
        <f>'Verduras y Frutas'!$A8*'Verduras y Frutas'!T8/100</f>
        <v>0</v>
      </c>
      <c r="U89" s="11">
        <f>'Verduras y Frutas'!$A8*'Verduras y Frutas'!U8/100</f>
        <v>0</v>
      </c>
    </row>
    <row r="90" spans="1:21" x14ac:dyDescent="0.15">
      <c r="A90" s="10">
        <f>'Verduras y Frutas'!A9</f>
        <v>0</v>
      </c>
      <c r="B90" s="4" t="str">
        <f>'Verduras y Frutas'!B9</f>
        <v>Esparragos</v>
      </c>
      <c r="C90" s="4">
        <f>'Verduras y Frutas'!$A9*'Verduras y Frutas'!C9/100</f>
        <v>0</v>
      </c>
      <c r="D90" s="4">
        <f>'Verduras y Frutas'!$A9*'Verduras y Frutas'!D9/100</f>
        <v>0</v>
      </c>
      <c r="E90" s="4">
        <f>'Verduras y Frutas'!$A9*'Verduras y Frutas'!E9/100</f>
        <v>0</v>
      </c>
      <c r="F90" s="4">
        <f>'Verduras y Frutas'!$A9*'Verduras y Frutas'!F9/100</f>
        <v>0</v>
      </c>
      <c r="G90" s="4">
        <f>'Verduras y Frutas'!$A9*'Verduras y Frutas'!G9/100</f>
        <v>0</v>
      </c>
      <c r="H90" s="4">
        <f>'Verduras y Frutas'!$A9*'Verduras y Frutas'!H9/100</f>
        <v>0</v>
      </c>
      <c r="I90" s="4">
        <f>'Verduras y Frutas'!$A9*'Verduras y Frutas'!I9/100</f>
        <v>0</v>
      </c>
      <c r="J90" s="4">
        <f>'Verduras y Frutas'!$A9*'Verduras y Frutas'!J9/100</f>
        <v>0</v>
      </c>
      <c r="K90" s="4">
        <f>'Verduras y Frutas'!$A9*'Verduras y Frutas'!K9/100</f>
        <v>0</v>
      </c>
      <c r="L90" s="4">
        <f>'Verduras y Frutas'!$A9*'Verduras y Frutas'!L9/100</f>
        <v>0</v>
      </c>
      <c r="M90" s="4">
        <f>'Verduras y Frutas'!$A9*'Verduras y Frutas'!M9/100</f>
        <v>0</v>
      </c>
      <c r="N90" s="4">
        <f>'Verduras y Frutas'!$A9*'Verduras y Frutas'!N9/100</f>
        <v>0</v>
      </c>
      <c r="O90" s="4">
        <f>'Verduras y Frutas'!$A9*'Verduras y Frutas'!O9/100</f>
        <v>0</v>
      </c>
      <c r="P90" s="4">
        <f>'Verduras y Frutas'!$A9*'Verduras y Frutas'!P9/100</f>
        <v>0</v>
      </c>
      <c r="Q90" s="4">
        <f>'Verduras y Frutas'!$A9*'Verduras y Frutas'!Q9/100</f>
        <v>0</v>
      </c>
      <c r="R90" s="11">
        <f>'Verduras y Frutas'!$A9*'Verduras y Frutas'!R9/100</f>
        <v>0</v>
      </c>
      <c r="S90" s="11">
        <f>'Verduras y Frutas'!$A9*'Verduras y Frutas'!S9/100</f>
        <v>0</v>
      </c>
      <c r="T90" s="11">
        <f>'Verduras y Frutas'!$A9*'Verduras y Frutas'!T9/100</f>
        <v>0</v>
      </c>
      <c r="U90" s="11">
        <f>'Verduras y Frutas'!$A9*'Verduras y Frutas'!U9/100</f>
        <v>0</v>
      </c>
    </row>
    <row r="91" spans="1:21" x14ac:dyDescent="0.15">
      <c r="A91" s="10">
        <f>'Verduras y Frutas'!A10</f>
        <v>0</v>
      </c>
      <c r="B91" s="4" t="str">
        <f>'Verduras y Frutas'!B10</f>
        <v>Tomate</v>
      </c>
      <c r="C91" s="4">
        <f>'Verduras y Frutas'!$A10*'Verduras y Frutas'!C10/100</f>
        <v>0</v>
      </c>
      <c r="D91" s="4">
        <f>'Verduras y Frutas'!$A10*'Verduras y Frutas'!D10/100</f>
        <v>0</v>
      </c>
      <c r="E91" s="4">
        <f>'Verduras y Frutas'!$A10*'Verduras y Frutas'!E10/100</f>
        <v>0</v>
      </c>
      <c r="F91" s="4">
        <f>'Verduras y Frutas'!$A10*'Verduras y Frutas'!F10/100</f>
        <v>0</v>
      </c>
      <c r="G91" s="4">
        <f>'Verduras y Frutas'!$A10*'Verduras y Frutas'!G10/100</f>
        <v>0</v>
      </c>
      <c r="H91" s="4">
        <f>'Verduras y Frutas'!$A10*'Verduras y Frutas'!H10/100</f>
        <v>0</v>
      </c>
      <c r="I91" s="4">
        <f>'Verduras y Frutas'!$A10*'Verduras y Frutas'!I10/100</f>
        <v>0</v>
      </c>
      <c r="J91" s="4">
        <f>'Verduras y Frutas'!$A10*'Verduras y Frutas'!J10/100</f>
        <v>0</v>
      </c>
      <c r="K91" s="4">
        <f>'Verduras y Frutas'!$A10*'Verduras y Frutas'!K10/100</f>
        <v>0</v>
      </c>
      <c r="L91" s="4">
        <f>'Verduras y Frutas'!$A10*'Verduras y Frutas'!L10/100</f>
        <v>0</v>
      </c>
      <c r="M91" s="4">
        <f>'Verduras y Frutas'!$A10*'Verduras y Frutas'!M10/100</f>
        <v>0</v>
      </c>
      <c r="N91" s="4">
        <f>'Verduras y Frutas'!$A10*'Verduras y Frutas'!N10/100</f>
        <v>0</v>
      </c>
      <c r="O91" s="4">
        <f>'Verduras y Frutas'!$A10*'Verduras y Frutas'!O10/100</f>
        <v>0</v>
      </c>
      <c r="P91" s="4">
        <f>'Verduras y Frutas'!$A10*'Verduras y Frutas'!P10/100</f>
        <v>0</v>
      </c>
      <c r="Q91" s="4">
        <f>'Verduras y Frutas'!$A10*'Verduras y Frutas'!Q10/100</f>
        <v>0</v>
      </c>
      <c r="R91" s="11">
        <f>'Verduras y Frutas'!$A10*'Verduras y Frutas'!R10/100</f>
        <v>0</v>
      </c>
      <c r="S91" s="11">
        <f>'Verduras y Frutas'!$A10*'Verduras y Frutas'!S10/100</f>
        <v>0</v>
      </c>
      <c r="T91" s="11">
        <f>'Verduras y Frutas'!$A10*'Verduras y Frutas'!T10/100</f>
        <v>0</v>
      </c>
      <c r="U91" s="11">
        <f>'Verduras y Frutas'!$A10*'Verduras y Frutas'!U10/100</f>
        <v>0</v>
      </c>
    </row>
    <row r="92" spans="1:21" x14ac:dyDescent="0.15">
      <c r="A92" s="10">
        <f>'Verduras y Frutas'!A11</f>
        <v>0</v>
      </c>
      <c r="B92" s="4" t="str">
        <f>'Verduras y Frutas'!B11</f>
        <v>Guisantes</v>
      </c>
      <c r="C92" s="4">
        <f>'Verduras y Frutas'!$A11*'Verduras y Frutas'!C11/100</f>
        <v>0</v>
      </c>
      <c r="D92" s="4">
        <f>'Verduras y Frutas'!$A11*'Verduras y Frutas'!D11/100</f>
        <v>0</v>
      </c>
      <c r="E92" s="4">
        <f>'Verduras y Frutas'!$A11*'Verduras y Frutas'!E11/100</f>
        <v>0</v>
      </c>
      <c r="F92" s="4">
        <f>'Verduras y Frutas'!$A11*'Verduras y Frutas'!F11/100</f>
        <v>0</v>
      </c>
      <c r="G92" s="4">
        <f>'Verduras y Frutas'!$A11*'Verduras y Frutas'!G11/100</f>
        <v>0</v>
      </c>
      <c r="H92" s="4">
        <f>'Verduras y Frutas'!$A11*'Verduras y Frutas'!H11/100</f>
        <v>0</v>
      </c>
      <c r="I92" s="4">
        <f>'Verduras y Frutas'!$A11*'Verduras y Frutas'!I11/100</f>
        <v>0</v>
      </c>
      <c r="J92" s="4">
        <f>'Verduras y Frutas'!$A11*'Verduras y Frutas'!J11/100</f>
        <v>0</v>
      </c>
      <c r="K92" s="4">
        <f>'Verduras y Frutas'!$A11*'Verduras y Frutas'!K11/100</f>
        <v>0</v>
      </c>
      <c r="L92" s="4">
        <f>'Verduras y Frutas'!$A11*'Verduras y Frutas'!L11/100</f>
        <v>0</v>
      </c>
      <c r="M92" s="4">
        <f>'Verduras y Frutas'!$A11*'Verduras y Frutas'!M11/100</f>
        <v>0</v>
      </c>
      <c r="N92" s="4">
        <f>'Verduras y Frutas'!$A11*'Verduras y Frutas'!N11/100</f>
        <v>0</v>
      </c>
      <c r="O92" s="4">
        <f>'Verduras y Frutas'!$A11*'Verduras y Frutas'!O11/100</f>
        <v>0</v>
      </c>
      <c r="P92" s="4">
        <f>'Verduras y Frutas'!$A11*'Verduras y Frutas'!P11/100</f>
        <v>0</v>
      </c>
      <c r="Q92" s="4">
        <f>'Verduras y Frutas'!$A11*'Verduras y Frutas'!Q11/100</f>
        <v>0</v>
      </c>
      <c r="R92" s="11">
        <f>'Verduras y Frutas'!$A11*'Verduras y Frutas'!R11/100</f>
        <v>0</v>
      </c>
      <c r="S92" s="11">
        <f>'Verduras y Frutas'!$A11*'Verduras y Frutas'!S11/100</f>
        <v>0</v>
      </c>
      <c r="T92" s="11">
        <f>'Verduras y Frutas'!$A11*'Verduras y Frutas'!T11/100</f>
        <v>0</v>
      </c>
      <c r="U92" s="11">
        <f>'Verduras y Frutas'!$A11*'Verduras y Frutas'!U11/100</f>
        <v>0</v>
      </c>
    </row>
    <row r="93" spans="1:21" x14ac:dyDescent="0.15">
      <c r="A93" s="10">
        <f>'Verduras y Frutas'!A12</f>
        <v>200</v>
      </c>
      <c r="B93" s="4" t="str">
        <f>'Verduras y Frutas'!B12</f>
        <v>Judias Verdes (cocidas)</v>
      </c>
      <c r="C93" s="4">
        <f>'Verduras y Frutas'!$A12*'Verduras y Frutas'!C12/100</f>
        <v>183</v>
      </c>
      <c r="D93" s="4">
        <f>'Verduras y Frutas'!$A12*'Verduras y Frutas'!D12/100</f>
        <v>62</v>
      </c>
      <c r="E93" s="4">
        <f>'Verduras y Frutas'!$A12*'Verduras y Frutas'!E12/100</f>
        <v>4</v>
      </c>
      <c r="F93" s="4">
        <f>'Verduras y Frutas'!$A12*'Verduras y Frutas'!F12/100</f>
        <v>0.4</v>
      </c>
      <c r="G93" s="4">
        <f>'Verduras y Frutas'!$A12*'Verduras y Frutas'!G12/100</f>
        <v>10.8</v>
      </c>
      <c r="H93" s="4">
        <f>'Verduras y Frutas'!$A12*'Verduras y Frutas'!H12/100</f>
        <v>6</v>
      </c>
      <c r="I93" s="4">
        <f>'Verduras y Frutas'!$A12*'Verduras y Frutas'!I12/100</f>
        <v>424</v>
      </c>
      <c r="J93" s="4">
        <f>'Verduras y Frutas'!$A12*'Verduras y Frutas'!J12/100</f>
        <v>56</v>
      </c>
      <c r="K93" s="4">
        <f>'Verduras y Frutas'!$A12*'Verduras y Frutas'!K12/100</f>
        <v>80</v>
      </c>
      <c r="L93" s="4">
        <f>'Verduras y Frutas'!$A12*'Verduras y Frutas'!L12/100</f>
        <v>1.8</v>
      </c>
      <c r="M93" s="4">
        <f>'Verduras y Frutas'!$A12*'Verduras y Frutas'!M12/100</f>
        <v>18</v>
      </c>
      <c r="N93" s="4">
        <f>'Verduras y Frutas'!$A12*'Verduras y Frutas'!N12/100</f>
        <v>0.12</v>
      </c>
      <c r="O93" s="4">
        <f>'Verduras y Frutas'!$A12*'Verduras y Frutas'!O12/100</f>
        <v>0.16</v>
      </c>
      <c r="P93" s="4">
        <f>'Verduras y Frutas'!$A12*'Verduras y Frutas'!P12/100</f>
        <v>1</v>
      </c>
      <c r="Q93" s="4">
        <f>'Verduras y Frutas'!$A12*'Verduras y Frutas'!Q12/100</f>
        <v>800</v>
      </c>
      <c r="R93" s="11">
        <f>'Verduras y Frutas'!$A12*'Verduras y Frutas'!R12/100</f>
        <v>0</v>
      </c>
      <c r="S93" s="11">
        <f>'Verduras y Frutas'!$A12*'Verduras y Frutas'!S12/100</f>
        <v>0.5</v>
      </c>
      <c r="T93" s="11">
        <f>'Verduras y Frutas'!$A12*'Verduras y Frutas'!T12/100</f>
        <v>0</v>
      </c>
      <c r="U93" s="11">
        <f>'Verduras y Frutas'!$A12*'Verduras y Frutas'!U12/100</f>
        <v>50</v>
      </c>
    </row>
    <row r="94" spans="1:21" x14ac:dyDescent="0.15">
      <c r="A94" s="10">
        <f>'Verduras y Frutas'!A13</f>
        <v>0</v>
      </c>
      <c r="B94" s="4" t="str">
        <f>'Verduras y Frutas'!B13</f>
        <v>Cebolla</v>
      </c>
      <c r="C94" s="4">
        <f>'Verduras y Frutas'!$A13*'Verduras y Frutas'!C13/100</f>
        <v>0</v>
      </c>
      <c r="D94" s="4">
        <f>'Verduras y Frutas'!$A13*'Verduras y Frutas'!D13/100</f>
        <v>0</v>
      </c>
      <c r="E94" s="4">
        <f>'Verduras y Frutas'!$A13*'Verduras y Frutas'!E13/100</f>
        <v>0</v>
      </c>
      <c r="F94" s="4">
        <f>'Verduras y Frutas'!$A13*'Verduras y Frutas'!F13/100</f>
        <v>0</v>
      </c>
      <c r="G94" s="4">
        <f>'Verduras y Frutas'!$A13*'Verduras y Frutas'!G13/100</f>
        <v>0</v>
      </c>
      <c r="H94" s="4">
        <f>'Verduras y Frutas'!$A13*'Verduras y Frutas'!H13/100</f>
        <v>0</v>
      </c>
      <c r="I94" s="4">
        <f>'Verduras y Frutas'!$A13*'Verduras y Frutas'!I13/100</f>
        <v>0</v>
      </c>
      <c r="J94" s="4">
        <f>'Verduras y Frutas'!$A13*'Verduras y Frutas'!J13/100</f>
        <v>0</v>
      </c>
      <c r="K94" s="4">
        <f>'Verduras y Frutas'!$A13*'Verduras y Frutas'!K13/100</f>
        <v>0</v>
      </c>
      <c r="L94" s="4">
        <f>'Verduras y Frutas'!$A13*'Verduras y Frutas'!L13/100</f>
        <v>0</v>
      </c>
      <c r="M94" s="4">
        <f>'Verduras y Frutas'!$A13*'Verduras y Frutas'!M13/100</f>
        <v>0</v>
      </c>
      <c r="N94" s="4">
        <f>'Verduras y Frutas'!$A13*'Verduras y Frutas'!N13/100</f>
        <v>0</v>
      </c>
      <c r="O94" s="4">
        <f>'Verduras y Frutas'!$A13*'Verduras y Frutas'!O13/100</f>
        <v>0</v>
      </c>
      <c r="P94" s="4">
        <f>'Verduras y Frutas'!$A13*'Verduras y Frutas'!P13/100</f>
        <v>0</v>
      </c>
      <c r="Q94" s="4">
        <f>'Verduras y Frutas'!$A13*'Verduras y Frutas'!Q13/100</f>
        <v>0</v>
      </c>
      <c r="R94" s="11">
        <f>'Verduras y Frutas'!$A13*'Verduras y Frutas'!R13/100</f>
        <v>0</v>
      </c>
      <c r="S94" s="11">
        <f>'Verduras y Frutas'!$A13*'Verduras y Frutas'!S13/100</f>
        <v>0</v>
      </c>
      <c r="T94" s="11">
        <f>'Verduras y Frutas'!$A13*'Verduras y Frutas'!T13/100</f>
        <v>0</v>
      </c>
      <c r="U94" s="11">
        <f>'Verduras y Frutas'!$A13*'Verduras y Frutas'!U13/100</f>
        <v>0</v>
      </c>
    </row>
    <row r="95" spans="1:21" x14ac:dyDescent="0.15">
      <c r="A95" s="10">
        <f>'Verduras y Frutas'!A14</f>
        <v>0</v>
      </c>
      <c r="B95" s="4" t="str">
        <f>'Verduras y Frutas'!B14</f>
        <v>Pimiento</v>
      </c>
      <c r="C95" s="4">
        <f>'Verduras y Frutas'!$A14*'Verduras y Frutas'!C14/100</f>
        <v>0</v>
      </c>
      <c r="D95" s="4">
        <f>'Verduras y Frutas'!$A14*'Verduras y Frutas'!D14/100</f>
        <v>0</v>
      </c>
      <c r="E95" s="4">
        <f>'Verduras y Frutas'!$A14*'Verduras y Frutas'!E14/100</f>
        <v>0</v>
      </c>
      <c r="F95" s="4">
        <f>'Verduras y Frutas'!$A14*'Verduras y Frutas'!F14/100</f>
        <v>0</v>
      </c>
      <c r="G95" s="4">
        <f>'Verduras y Frutas'!$A14*'Verduras y Frutas'!G14/100</f>
        <v>0</v>
      </c>
      <c r="H95" s="4">
        <f>'Verduras y Frutas'!$A14*'Verduras y Frutas'!H14/100</f>
        <v>0</v>
      </c>
      <c r="I95" s="4">
        <f>'Verduras y Frutas'!$A14*'Verduras y Frutas'!I14/100</f>
        <v>0</v>
      </c>
      <c r="J95" s="4">
        <f>'Verduras y Frutas'!$A14*'Verduras y Frutas'!J14/100</f>
        <v>0</v>
      </c>
      <c r="K95" s="4">
        <f>'Verduras y Frutas'!$A14*'Verduras y Frutas'!K14/100</f>
        <v>0</v>
      </c>
      <c r="L95" s="4">
        <f>'Verduras y Frutas'!$A14*'Verduras y Frutas'!L14/100</f>
        <v>0</v>
      </c>
      <c r="M95" s="4">
        <f>'Verduras y Frutas'!$A14*'Verduras y Frutas'!M14/100</f>
        <v>0</v>
      </c>
      <c r="N95" s="4">
        <f>'Verduras y Frutas'!$A14*'Verduras y Frutas'!N14/100</f>
        <v>0</v>
      </c>
      <c r="O95" s="4">
        <f>'Verduras y Frutas'!$A14*'Verduras y Frutas'!O14/100</f>
        <v>0</v>
      </c>
      <c r="P95" s="4">
        <f>'Verduras y Frutas'!$A14*'Verduras y Frutas'!P14/100</f>
        <v>0</v>
      </c>
      <c r="Q95" s="4">
        <f>'Verduras y Frutas'!$A14*'Verduras y Frutas'!Q14/100</f>
        <v>0</v>
      </c>
      <c r="R95" s="11">
        <f>'Verduras y Frutas'!$A14*'Verduras y Frutas'!R14/100</f>
        <v>0</v>
      </c>
      <c r="S95" s="11">
        <f>'Verduras y Frutas'!$A14*'Verduras y Frutas'!S14/100</f>
        <v>0</v>
      </c>
      <c r="T95" s="11">
        <f>'Verduras y Frutas'!$A14*'Verduras y Frutas'!T14/100</f>
        <v>0</v>
      </c>
      <c r="U95" s="11">
        <f>'Verduras y Frutas'!$A14*'Verduras y Frutas'!U14/100</f>
        <v>0</v>
      </c>
    </row>
    <row r="96" spans="1:21" x14ac:dyDescent="0.15">
      <c r="A96" s="10">
        <f>'Verduras y Frutas'!A15</f>
        <v>0</v>
      </c>
      <c r="B96" s="4" t="str">
        <f>'Verduras y Frutas'!B15</f>
        <v>Berenjena, Pepino, Calabacin</v>
      </c>
      <c r="C96" s="4">
        <f>'Verduras y Frutas'!$A15*'Verduras y Frutas'!C15/100</f>
        <v>0</v>
      </c>
      <c r="D96" s="4">
        <f>'Verduras y Frutas'!$A15*'Verduras y Frutas'!D15/100</f>
        <v>0</v>
      </c>
      <c r="E96" s="4">
        <f>'Verduras y Frutas'!$A15*'Verduras y Frutas'!E15/100</f>
        <v>0</v>
      </c>
      <c r="F96" s="4">
        <f>'Verduras y Frutas'!$A15*'Verduras y Frutas'!F15/100</f>
        <v>0</v>
      </c>
      <c r="G96" s="4">
        <f>'Verduras y Frutas'!$A15*'Verduras y Frutas'!G15/100</f>
        <v>0</v>
      </c>
      <c r="H96" s="4">
        <f>'Verduras y Frutas'!$A15*'Verduras y Frutas'!H15/100</f>
        <v>0</v>
      </c>
      <c r="I96" s="4">
        <f>'Verduras y Frutas'!$A15*'Verduras y Frutas'!I15/100</f>
        <v>0</v>
      </c>
      <c r="J96" s="4">
        <f>'Verduras y Frutas'!$A15*'Verduras y Frutas'!J15/100</f>
        <v>0</v>
      </c>
      <c r="K96" s="4">
        <f>'Verduras y Frutas'!$A15*'Verduras y Frutas'!K15/100</f>
        <v>0</v>
      </c>
      <c r="L96" s="4">
        <f>'Verduras y Frutas'!$A15*'Verduras y Frutas'!L15/100</f>
        <v>0</v>
      </c>
      <c r="M96" s="4">
        <f>'Verduras y Frutas'!$A15*'Verduras y Frutas'!M15/100</f>
        <v>0</v>
      </c>
      <c r="N96" s="4">
        <f>'Verduras y Frutas'!$A15*'Verduras y Frutas'!N15/100</f>
        <v>0</v>
      </c>
      <c r="O96" s="4">
        <f>'Verduras y Frutas'!$A15*'Verduras y Frutas'!O15/100</f>
        <v>0</v>
      </c>
      <c r="P96" s="4">
        <f>'Verduras y Frutas'!$A15*'Verduras y Frutas'!P15/100</f>
        <v>0</v>
      </c>
      <c r="Q96" s="4">
        <f>'Verduras y Frutas'!$A15*'Verduras y Frutas'!Q15/100</f>
        <v>0</v>
      </c>
      <c r="R96" s="11">
        <f>'Verduras y Frutas'!$A15*'Verduras y Frutas'!R15/100</f>
        <v>0</v>
      </c>
      <c r="S96" s="11">
        <f>'Verduras y Frutas'!$A15*'Verduras y Frutas'!S15/100</f>
        <v>0</v>
      </c>
      <c r="T96" s="11">
        <f>'Verduras y Frutas'!$A15*'Verduras y Frutas'!T15/100</f>
        <v>0</v>
      </c>
      <c r="U96" s="11">
        <f>'Verduras y Frutas'!$A15*'Verduras y Frutas'!U15/100</f>
        <v>0</v>
      </c>
    </row>
    <row r="97" spans="1:21" x14ac:dyDescent="0.15">
      <c r="A97" s="10">
        <f>'Verduras y Frutas'!A16</f>
        <v>0</v>
      </c>
      <c r="B97" s="4" t="str">
        <f>'Verduras y Frutas'!B16</f>
        <v>Champiñones</v>
      </c>
      <c r="C97" s="4">
        <f>'Verduras y Frutas'!$A16*'Verduras y Frutas'!C16/100</f>
        <v>0</v>
      </c>
      <c r="D97" s="4">
        <f>'Verduras y Frutas'!$A16*'Verduras y Frutas'!D16/100</f>
        <v>0</v>
      </c>
      <c r="E97" s="4">
        <f>'Verduras y Frutas'!$A16*'Verduras y Frutas'!E16/100</f>
        <v>0</v>
      </c>
      <c r="F97" s="4">
        <f>'Verduras y Frutas'!$A16*'Verduras y Frutas'!F16/100</f>
        <v>0</v>
      </c>
      <c r="G97" s="4">
        <f>'Verduras y Frutas'!$A16*'Verduras y Frutas'!G16/100</f>
        <v>0</v>
      </c>
      <c r="H97" s="4">
        <f>'Verduras y Frutas'!$A16*'Verduras y Frutas'!H16/100</f>
        <v>0</v>
      </c>
      <c r="I97" s="4">
        <f>'Verduras y Frutas'!$A16*'Verduras y Frutas'!I16/100</f>
        <v>0</v>
      </c>
      <c r="J97" s="4">
        <f>'Verduras y Frutas'!$A16*'Verduras y Frutas'!J16/100</f>
        <v>0</v>
      </c>
      <c r="K97" s="4">
        <f>'Verduras y Frutas'!$A16*'Verduras y Frutas'!K16/100</f>
        <v>0</v>
      </c>
      <c r="L97" s="4">
        <f>'Verduras y Frutas'!$A16*'Verduras y Frutas'!L16/100</f>
        <v>0</v>
      </c>
      <c r="M97" s="4">
        <f>'Verduras y Frutas'!$A16*'Verduras y Frutas'!M16/100</f>
        <v>0</v>
      </c>
      <c r="N97" s="4">
        <f>'Verduras y Frutas'!$A16*'Verduras y Frutas'!N16/100</f>
        <v>0</v>
      </c>
      <c r="O97" s="4">
        <f>'Verduras y Frutas'!$A16*'Verduras y Frutas'!O16/100</f>
        <v>0</v>
      </c>
      <c r="P97" s="4">
        <f>'Verduras y Frutas'!$A16*'Verduras y Frutas'!P16/100</f>
        <v>0</v>
      </c>
      <c r="Q97" s="4">
        <f>'Verduras y Frutas'!$A16*'Verduras y Frutas'!Q16/100</f>
        <v>0</v>
      </c>
      <c r="R97" s="11">
        <f>'Verduras y Frutas'!$A16*'Verduras y Frutas'!R16/100</f>
        <v>0</v>
      </c>
      <c r="S97" s="11">
        <f>'Verduras y Frutas'!$A16*'Verduras y Frutas'!S16/100</f>
        <v>0</v>
      </c>
      <c r="T97" s="11">
        <f>'Verduras y Frutas'!$A16*'Verduras y Frutas'!T16/100</f>
        <v>0</v>
      </c>
      <c r="U97" s="11">
        <f>'Verduras y Frutas'!$A16*'Verduras y Frutas'!U16/100</f>
        <v>0</v>
      </c>
    </row>
    <row r="98" spans="1:21" x14ac:dyDescent="0.15">
      <c r="A98" s="10">
        <f>'Verduras y Frutas'!A17</f>
        <v>0</v>
      </c>
      <c r="B98" s="4" t="str">
        <f>'Verduras y Frutas'!B17</f>
        <v xml:space="preserve">Ensalada Verde (lechuga, tomate, cebolla, pepino) </v>
      </c>
      <c r="C98" s="4">
        <f>'Verduras y Frutas'!$A17*'Verduras y Frutas'!C17/100</f>
        <v>0</v>
      </c>
      <c r="D98" s="4">
        <f>'Verduras y Frutas'!$A17*'Verduras y Frutas'!D17/100</f>
        <v>0</v>
      </c>
      <c r="E98" s="4">
        <f>'Verduras y Frutas'!$A17*'Verduras y Frutas'!E17/100</f>
        <v>0</v>
      </c>
      <c r="F98" s="4">
        <f>'Verduras y Frutas'!$A17*'Verduras y Frutas'!F17/100</f>
        <v>0</v>
      </c>
      <c r="G98" s="4">
        <f>'Verduras y Frutas'!$A17*'Verduras y Frutas'!G17/100</f>
        <v>0</v>
      </c>
      <c r="H98" s="4">
        <f>'Verduras y Frutas'!$A17*'Verduras y Frutas'!H17/100</f>
        <v>0</v>
      </c>
      <c r="I98" s="4">
        <f>'Verduras y Frutas'!$A17*'Verduras y Frutas'!I17/100</f>
        <v>0</v>
      </c>
      <c r="J98" s="4">
        <f>'Verduras y Frutas'!$A17*'Verduras y Frutas'!J17/100</f>
        <v>0</v>
      </c>
      <c r="K98" s="4">
        <f>'Verduras y Frutas'!$A17*'Verduras y Frutas'!K17/100</f>
        <v>0</v>
      </c>
      <c r="L98" s="4">
        <f>'Verduras y Frutas'!$A17*'Verduras y Frutas'!L17/100</f>
        <v>0</v>
      </c>
      <c r="M98" s="4">
        <f>'Verduras y Frutas'!$A17*'Verduras y Frutas'!M17/100</f>
        <v>0</v>
      </c>
      <c r="N98" s="4">
        <f>'Verduras y Frutas'!$A17*'Verduras y Frutas'!N17/100</f>
        <v>0</v>
      </c>
      <c r="O98" s="4">
        <f>'Verduras y Frutas'!$A17*'Verduras y Frutas'!O17/100</f>
        <v>0</v>
      </c>
      <c r="P98" s="4">
        <f>'Verduras y Frutas'!$A17*'Verduras y Frutas'!P17/100</f>
        <v>0</v>
      </c>
      <c r="Q98" s="4">
        <f>'Verduras y Frutas'!$A17*'Verduras y Frutas'!Q17/100</f>
        <v>0</v>
      </c>
      <c r="R98" s="11">
        <f>'Verduras y Frutas'!$A17*'Verduras y Frutas'!R17/100</f>
        <v>0</v>
      </c>
      <c r="S98" s="11">
        <f>'Verduras y Frutas'!$A17*'Verduras y Frutas'!S17/100</f>
        <v>0</v>
      </c>
      <c r="T98" s="11">
        <f>'Verduras y Frutas'!$A17*'Verduras y Frutas'!T17/100</f>
        <v>0</v>
      </c>
      <c r="U98" s="11">
        <f>'Verduras y Frutas'!$A17*'Verduras y Frutas'!U17/100</f>
        <v>0</v>
      </c>
    </row>
    <row r="99" spans="1:21" x14ac:dyDescent="0.15">
      <c r="A99" s="10">
        <f>'Verduras y Frutas'!A18</f>
        <v>0</v>
      </c>
      <c r="B99" s="4" t="str">
        <f>'Verduras y Frutas'!B18</f>
        <v>Crema de Verduras</v>
      </c>
      <c r="C99" s="4">
        <f>'Verduras y Frutas'!$A18*'Verduras y Frutas'!C18/100</f>
        <v>0</v>
      </c>
      <c r="D99" s="4">
        <f>'Verduras y Frutas'!$A18*'Verduras y Frutas'!D18/100</f>
        <v>0</v>
      </c>
      <c r="E99" s="4">
        <f>'Verduras y Frutas'!$A18*'Verduras y Frutas'!E18/100</f>
        <v>0</v>
      </c>
      <c r="F99" s="4">
        <f>'Verduras y Frutas'!$A18*'Verduras y Frutas'!F18/100</f>
        <v>0</v>
      </c>
      <c r="G99" s="4">
        <f>'Verduras y Frutas'!$A18*'Verduras y Frutas'!G18/100</f>
        <v>0</v>
      </c>
      <c r="H99" s="4">
        <f>'Verduras y Frutas'!$A18*'Verduras y Frutas'!H18/100</f>
        <v>0</v>
      </c>
      <c r="I99" s="4">
        <f>'Verduras y Frutas'!$A18*'Verduras y Frutas'!I18/100</f>
        <v>0</v>
      </c>
      <c r="J99" s="4">
        <f>'Verduras y Frutas'!$A18*'Verduras y Frutas'!J18/100</f>
        <v>0</v>
      </c>
      <c r="K99" s="4">
        <f>'Verduras y Frutas'!$A18*'Verduras y Frutas'!K18/100</f>
        <v>0</v>
      </c>
      <c r="L99" s="4">
        <f>'Verduras y Frutas'!$A18*'Verduras y Frutas'!L18/100</f>
        <v>0</v>
      </c>
      <c r="M99" s="4">
        <f>'Verduras y Frutas'!$A18*'Verduras y Frutas'!M18/100</f>
        <v>0</v>
      </c>
      <c r="N99" s="4">
        <f>'Verduras y Frutas'!$A18*'Verduras y Frutas'!N18/100</f>
        <v>0</v>
      </c>
      <c r="O99" s="4">
        <f>'Verduras y Frutas'!$A18*'Verduras y Frutas'!O18/100</f>
        <v>0</v>
      </c>
      <c r="P99" s="4">
        <f>'Verduras y Frutas'!$A18*'Verduras y Frutas'!P18/100</f>
        <v>0</v>
      </c>
      <c r="Q99" s="4">
        <f>'Verduras y Frutas'!$A18*'Verduras y Frutas'!Q18/100</f>
        <v>0</v>
      </c>
      <c r="R99" s="11">
        <f>'Verduras y Frutas'!$A18*'Verduras y Frutas'!R18/100</f>
        <v>0</v>
      </c>
      <c r="S99" s="11">
        <f>'Verduras y Frutas'!$A18*'Verduras y Frutas'!S18/100</f>
        <v>0</v>
      </c>
      <c r="T99" s="11">
        <f>'Verduras y Frutas'!$A18*'Verduras y Frutas'!T18/100</f>
        <v>0</v>
      </c>
      <c r="U99" s="11">
        <f>'Verduras y Frutas'!$A18*'Verduras y Frutas'!U18/100</f>
        <v>0</v>
      </c>
    </row>
    <row r="100" spans="1:21" x14ac:dyDescent="0.15">
      <c r="A100" s="10">
        <f>'Verduras y Frutas'!A19</f>
        <v>0</v>
      </c>
      <c r="B100" s="4" t="str">
        <f>'Verduras y Frutas'!B19</f>
        <v>Menestra de Verduras</v>
      </c>
      <c r="C100" s="4">
        <f>'Verduras y Frutas'!$A19*'Verduras y Frutas'!C19/100</f>
        <v>0</v>
      </c>
      <c r="D100" s="4">
        <f>'Verduras y Frutas'!$A19*'Verduras y Frutas'!D19/100</f>
        <v>0</v>
      </c>
      <c r="E100" s="4">
        <f>'Verduras y Frutas'!$A19*'Verduras y Frutas'!E19/100</f>
        <v>0</v>
      </c>
      <c r="F100" s="4">
        <f>'Verduras y Frutas'!$A19*'Verduras y Frutas'!F19/100</f>
        <v>0</v>
      </c>
      <c r="G100" s="4">
        <f>'Verduras y Frutas'!$A19*'Verduras y Frutas'!G19/100</f>
        <v>0</v>
      </c>
      <c r="H100" s="4">
        <f>'Verduras y Frutas'!$A19*'Verduras y Frutas'!H19/100</f>
        <v>0</v>
      </c>
      <c r="I100" s="4">
        <f>'Verduras y Frutas'!$A19*'Verduras y Frutas'!I19/100</f>
        <v>0</v>
      </c>
      <c r="J100" s="4">
        <f>'Verduras y Frutas'!$A19*'Verduras y Frutas'!J19/100</f>
        <v>0</v>
      </c>
      <c r="K100" s="4">
        <f>'Verduras y Frutas'!$A19*'Verduras y Frutas'!K19/100</f>
        <v>0</v>
      </c>
      <c r="L100" s="4">
        <f>'Verduras y Frutas'!$A19*'Verduras y Frutas'!L19/100</f>
        <v>0</v>
      </c>
      <c r="M100" s="4">
        <f>'Verduras y Frutas'!$A19*'Verduras y Frutas'!M19/100</f>
        <v>0</v>
      </c>
      <c r="N100" s="4">
        <f>'Verduras y Frutas'!$A19*'Verduras y Frutas'!N19/100</f>
        <v>0</v>
      </c>
      <c r="O100" s="4">
        <f>'Verduras y Frutas'!$A19*'Verduras y Frutas'!O19/100</f>
        <v>0</v>
      </c>
      <c r="P100" s="4">
        <f>'Verduras y Frutas'!$A19*'Verduras y Frutas'!P19/100</f>
        <v>0</v>
      </c>
      <c r="Q100" s="4">
        <f>'Verduras y Frutas'!$A19*'Verduras y Frutas'!Q19/100</f>
        <v>0</v>
      </c>
      <c r="R100" s="11">
        <f>'Verduras y Frutas'!$A19*'Verduras y Frutas'!R19/100</f>
        <v>0</v>
      </c>
      <c r="S100" s="11">
        <f>'Verduras y Frutas'!$A19*'Verduras y Frutas'!S19/100</f>
        <v>0</v>
      </c>
      <c r="T100" s="11">
        <f>'Verduras y Frutas'!$A19*'Verduras y Frutas'!T19/100</f>
        <v>0</v>
      </c>
      <c r="U100" s="11">
        <f>'Verduras y Frutas'!$A19*'Verduras y Frutas'!U19/100</f>
        <v>0</v>
      </c>
    </row>
    <row r="101" spans="1:21" x14ac:dyDescent="0.15">
      <c r="A101" s="10">
        <f>'Verduras y Frutas'!A20</f>
        <v>0</v>
      </c>
      <c r="B101" s="4" t="str">
        <f>'Verduras y Frutas'!B20</f>
        <v>Gazpacho</v>
      </c>
      <c r="C101" s="4">
        <f>'Verduras y Frutas'!$A20*'Verduras y Frutas'!C20/100</f>
        <v>0</v>
      </c>
      <c r="D101" s="4">
        <f>'Verduras y Frutas'!$A20*'Verduras y Frutas'!D20/100</f>
        <v>0</v>
      </c>
      <c r="E101" s="4">
        <f>'Verduras y Frutas'!$A20*'Verduras y Frutas'!E20/100</f>
        <v>0</v>
      </c>
      <c r="F101" s="4">
        <f>'Verduras y Frutas'!$A20*'Verduras y Frutas'!F20/100</f>
        <v>0</v>
      </c>
      <c r="G101" s="4">
        <f>'Verduras y Frutas'!$A20*'Verduras y Frutas'!G20/100</f>
        <v>0</v>
      </c>
      <c r="H101" s="4">
        <f>'Verduras y Frutas'!$A20*'Verduras y Frutas'!H20/100</f>
        <v>0</v>
      </c>
      <c r="I101" s="4">
        <f>'Verduras y Frutas'!$A20*'Verduras y Frutas'!I20/100</f>
        <v>0</v>
      </c>
      <c r="J101" s="4">
        <f>'Verduras y Frutas'!$A20*'Verduras y Frutas'!J20/100</f>
        <v>0</v>
      </c>
      <c r="K101" s="4">
        <f>'Verduras y Frutas'!$A20*'Verduras y Frutas'!K20/100</f>
        <v>0</v>
      </c>
      <c r="L101" s="4">
        <f>'Verduras y Frutas'!$A20*'Verduras y Frutas'!L20/100</f>
        <v>0</v>
      </c>
      <c r="M101" s="4">
        <f>'Verduras y Frutas'!$A20*'Verduras y Frutas'!M20/100</f>
        <v>0</v>
      </c>
      <c r="N101" s="4">
        <f>'Verduras y Frutas'!$A20*'Verduras y Frutas'!N20/100</f>
        <v>0</v>
      </c>
      <c r="O101" s="4">
        <f>'Verduras y Frutas'!$A20*'Verduras y Frutas'!O20/100</f>
        <v>0</v>
      </c>
      <c r="P101" s="4">
        <f>'Verduras y Frutas'!$A20*'Verduras y Frutas'!P20/100</f>
        <v>0</v>
      </c>
      <c r="Q101" s="4">
        <f>'Verduras y Frutas'!$A20*'Verduras y Frutas'!Q20/100</f>
        <v>0</v>
      </c>
      <c r="R101" s="11">
        <f>'Verduras y Frutas'!$A20*'Verduras y Frutas'!R20/100</f>
        <v>0</v>
      </c>
      <c r="S101" s="11">
        <f>'Verduras y Frutas'!$A20*'Verduras y Frutas'!S20/100</f>
        <v>0</v>
      </c>
      <c r="T101" s="11">
        <f>'Verduras y Frutas'!$A20*'Verduras y Frutas'!T20/100</f>
        <v>0</v>
      </c>
      <c r="U101" s="11">
        <f>'Verduras y Frutas'!$A20*'Verduras y Frutas'!U20/100</f>
        <v>0</v>
      </c>
    </row>
    <row r="102" spans="1:21" x14ac:dyDescent="0.15">
      <c r="A102" s="10"/>
      <c r="B102" s="4"/>
      <c r="C102" s="4"/>
      <c r="D102" s="4"/>
      <c r="E102" s="4"/>
      <c r="F102" s="4"/>
      <c r="G102" s="4"/>
      <c r="H102" s="4"/>
      <c r="I102" s="4"/>
      <c r="J102" s="4"/>
      <c r="K102" s="4"/>
      <c r="L102" s="4"/>
      <c r="M102" s="4"/>
      <c r="N102" s="4"/>
      <c r="O102" s="4"/>
      <c r="P102" s="4"/>
      <c r="Q102" s="4"/>
      <c r="R102" s="11"/>
      <c r="S102" s="11"/>
      <c r="T102" s="11"/>
      <c r="U102" s="11"/>
    </row>
    <row r="103" spans="1:21" x14ac:dyDescent="0.15">
      <c r="A103" s="10">
        <f>'Verduras y Frutas'!A25</f>
        <v>150</v>
      </c>
      <c r="B103" s="4" t="str">
        <f>'Verduras y Frutas'!B25</f>
        <v>Citricos y Kiwi</v>
      </c>
      <c r="C103" s="4">
        <f>'Verduras y Frutas'!$A25*'Verduras y Frutas'!C25/100</f>
        <v>132.30000000000001</v>
      </c>
      <c r="D103" s="4">
        <f>'Verduras y Frutas'!$A25*'Verduras y Frutas'!D25/100</f>
        <v>69</v>
      </c>
      <c r="E103" s="4">
        <f>'Verduras y Frutas'!$A25*'Verduras y Frutas'!E25/100</f>
        <v>1.5</v>
      </c>
      <c r="F103" s="4">
        <f>'Verduras y Frutas'!$A25*'Verduras y Frutas'!F25/100</f>
        <v>0.3</v>
      </c>
      <c r="G103" s="4">
        <f>'Verduras y Frutas'!$A25*'Verduras y Frutas'!G25/100</f>
        <v>15</v>
      </c>
      <c r="H103" s="4">
        <f>'Verduras y Frutas'!$A25*'Verduras y Frutas'!H25/100</f>
        <v>4.5</v>
      </c>
      <c r="I103" s="4">
        <f>'Verduras y Frutas'!$A25*'Verduras y Frutas'!I25/100</f>
        <v>300</v>
      </c>
      <c r="J103" s="4">
        <f>'Verduras y Frutas'!$A25*'Verduras y Frutas'!J25/100</f>
        <v>36</v>
      </c>
      <c r="K103" s="4">
        <f>'Verduras y Frutas'!$A25*'Verduras y Frutas'!K25/100</f>
        <v>61.5</v>
      </c>
      <c r="L103" s="4">
        <f>'Verduras y Frutas'!$A25*'Verduras y Frutas'!L25/100</f>
        <v>0.75</v>
      </c>
      <c r="M103" s="4">
        <f>'Verduras y Frutas'!$A25*'Verduras y Frutas'!M25/100</f>
        <v>75.900000000000006</v>
      </c>
      <c r="N103" s="4">
        <f>'Verduras y Frutas'!$A25*'Verduras y Frutas'!N25/100</f>
        <v>0.12</v>
      </c>
      <c r="O103" s="4">
        <f>'Verduras y Frutas'!$A25*'Verduras y Frutas'!O25/100</f>
        <v>0.06</v>
      </c>
      <c r="P103" s="4">
        <f>'Verduras y Frutas'!$A25*'Verduras y Frutas'!P25/100</f>
        <v>0.6</v>
      </c>
      <c r="Q103" s="4">
        <f>'Verduras y Frutas'!$A25*'Verduras y Frutas'!Q25/100</f>
        <v>303</v>
      </c>
      <c r="R103" s="11">
        <f>'Verduras y Frutas'!$A25*'Verduras y Frutas'!R25/100</f>
        <v>0</v>
      </c>
      <c r="S103" s="11">
        <f>'Verduras y Frutas'!$A25*'Verduras y Frutas'!S25/100</f>
        <v>0.375</v>
      </c>
      <c r="T103" s="11">
        <f>'Verduras y Frutas'!$A25*'Verduras y Frutas'!T25/100</f>
        <v>0</v>
      </c>
      <c r="U103" s="11">
        <f>'Verduras y Frutas'!$A25*'Verduras y Frutas'!U25/100</f>
        <v>21</v>
      </c>
    </row>
    <row r="104" spans="1:21" x14ac:dyDescent="0.15">
      <c r="A104" s="10">
        <f>'Verduras y Frutas'!A26</f>
        <v>0</v>
      </c>
      <c r="B104" s="4" t="str">
        <f>'Verduras y Frutas'!B26</f>
        <v>Fruites con hues (melocotones, albaricoques, cerezas)</v>
      </c>
      <c r="C104" s="4">
        <f>'Verduras y Frutas'!$A26*'Verduras y Frutas'!C26/100</f>
        <v>0</v>
      </c>
      <c r="D104" s="4">
        <f>'Verduras y Frutas'!$A26*'Verduras y Frutas'!D26/100</f>
        <v>0</v>
      </c>
      <c r="E104" s="4">
        <f>'Verduras y Frutas'!$A26*'Verduras y Frutas'!E26/100</f>
        <v>0</v>
      </c>
      <c r="F104" s="4">
        <f>'Verduras y Frutas'!$A26*'Verduras y Frutas'!F26/100</f>
        <v>0</v>
      </c>
      <c r="G104" s="4">
        <f>'Verduras y Frutas'!$A26*'Verduras y Frutas'!G26/100</f>
        <v>0</v>
      </c>
      <c r="H104" s="4">
        <f>'Verduras y Frutas'!$A26*'Verduras y Frutas'!H26/100</f>
        <v>0</v>
      </c>
      <c r="I104" s="4">
        <f>'Verduras y Frutas'!$A26*'Verduras y Frutas'!I26/100</f>
        <v>0</v>
      </c>
      <c r="J104" s="4">
        <f>'Verduras y Frutas'!$A26*'Verduras y Frutas'!J26/100</f>
        <v>0</v>
      </c>
      <c r="K104" s="4">
        <f>'Verduras y Frutas'!$A26*'Verduras y Frutas'!K26/100</f>
        <v>0</v>
      </c>
      <c r="L104" s="4">
        <f>'Verduras y Frutas'!$A26*'Verduras y Frutas'!L26/100</f>
        <v>0</v>
      </c>
      <c r="M104" s="4">
        <f>'Verduras y Frutas'!$A26*'Verduras y Frutas'!M26/100</f>
        <v>0</v>
      </c>
      <c r="N104" s="4">
        <f>'Verduras y Frutas'!$A26*'Verduras y Frutas'!N26/100</f>
        <v>0</v>
      </c>
      <c r="O104" s="4">
        <f>'Verduras y Frutas'!$A26*'Verduras y Frutas'!O26/100</f>
        <v>0</v>
      </c>
      <c r="P104" s="4">
        <f>'Verduras y Frutas'!$A26*'Verduras y Frutas'!P26/100</f>
        <v>0</v>
      </c>
      <c r="Q104" s="4">
        <f>'Verduras y Frutas'!$A26*'Verduras y Frutas'!Q26/100</f>
        <v>0</v>
      </c>
      <c r="R104" s="11">
        <f>'Verduras y Frutas'!$A26*'Verduras y Frutas'!R26/100</f>
        <v>0</v>
      </c>
      <c r="S104" s="11">
        <f>'Verduras y Frutas'!$A26*'Verduras y Frutas'!S26/100</f>
        <v>0</v>
      </c>
      <c r="T104" s="11">
        <f>'Verduras y Frutas'!$A26*'Verduras y Frutas'!T26/100</f>
        <v>0</v>
      </c>
      <c r="U104" s="11">
        <f>'Verduras y Frutas'!$A26*'Verduras y Frutas'!U26/100</f>
        <v>0</v>
      </c>
    </row>
    <row r="105" spans="1:21" ht="12.75" customHeight="1" x14ac:dyDescent="0.15">
      <c r="A105" s="10">
        <f>'Verduras y Frutas'!A27</f>
        <v>0</v>
      </c>
      <c r="B105" s="4" t="str">
        <f>'Verduras y Frutas'!B27</f>
        <v>Manzanas, Peras</v>
      </c>
      <c r="C105" s="4">
        <f>'Verduras y Frutas'!$A27*'Verduras y Frutas'!C27/100</f>
        <v>0</v>
      </c>
      <c r="D105" s="4">
        <f>'Verduras y Frutas'!$A27*'Verduras y Frutas'!D27/100</f>
        <v>0</v>
      </c>
      <c r="E105" s="4">
        <f>'Verduras y Frutas'!$A27*'Verduras y Frutas'!E27/100</f>
        <v>0</v>
      </c>
      <c r="F105" s="4">
        <f>'Verduras y Frutas'!$A27*'Verduras y Frutas'!F27/100</f>
        <v>0</v>
      </c>
      <c r="G105" s="4">
        <f>'Verduras y Frutas'!$A27*'Verduras y Frutas'!G27/100</f>
        <v>0</v>
      </c>
      <c r="H105" s="4">
        <f>'Verduras y Frutas'!$A27*'Verduras y Frutas'!H27/100</f>
        <v>0</v>
      </c>
      <c r="I105" s="4">
        <f>'Verduras y Frutas'!$A27*'Verduras y Frutas'!I27/100</f>
        <v>0</v>
      </c>
      <c r="J105" s="4">
        <f>'Verduras y Frutas'!$A27*'Verduras y Frutas'!J27/100</f>
        <v>0</v>
      </c>
      <c r="K105" s="4">
        <f>'Verduras y Frutas'!$A27*'Verduras y Frutas'!K27/100</f>
        <v>0</v>
      </c>
      <c r="L105" s="4">
        <f>'Verduras y Frutas'!$A27*'Verduras y Frutas'!L27/100</f>
        <v>0</v>
      </c>
      <c r="M105" s="4">
        <f>'Verduras y Frutas'!$A27*'Verduras y Frutas'!M27/100</f>
        <v>0</v>
      </c>
      <c r="N105" s="4">
        <f>'Verduras y Frutas'!$A27*'Verduras y Frutas'!N27/100</f>
        <v>0</v>
      </c>
      <c r="O105" s="4">
        <f>'Verduras y Frutas'!$A27*'Verduras y Frutas'!O27/100</f>
        <v>0</v>
      </c>
      <c r="P105" s="4">
        <f>'Verduras y Frutas'!$A27*'Verduras y Frutas'!P27/100</f>
        <v>0</v>
      </c>
      <c r="Q105" s="4">
        <f>'Verduras y Frutas'!$A27*'Verduras y Frutas'!Q27/100</f>
        <v>0</v>
      </c>
      <c r="R105" s="11">
        <f>'Verduras y Frutas'!$A27*'Verduras y Frutas'!R27/100</f>
        <v>0</v>
      </c>
      <c r="S105" s="11">
        <f>'Verduras y Frutas'!$A27*'Verduras y Frutas'!S27/100</f>
        <v>0</v>
      </c>
      <c r="T105" s="11">
        <f>'Verduras y Frutas'!$A27*'Verduras y Frutas'!T27/100</f>
        <v>0</v>
      </c>
      <c r="U105" s="11">
        <f>'Verduras y Frutas'!$A27*'Verduras y Frutas'!U27/100</f>
        <v>0</v>
      </c>
    </row>
    <row r="106" spans="1:21" x14ac:dyDescent="0.15">
      <c r="A106" s="10">
        <f>'Verduras y Frutas'!A28</f>
        <v>0</v>
      </c>
      <c r="B106" s="4" t="str">
        <f>'Verduras y Frutas'!B28</f>
        <v>Uva</v>
      </c>
      <c r="C106" s="4">
        <f>'Verduras y Frutas'!$A28*'Verduras y Frutas'!C28/100</f>
        <v>0</v>
      </c>
      <c r="D106" s="4">
        <f>'Verduras y Frutas'!$A28*'Verduras y Frutas'!D28/100</f>
        <v>0</v>
      </c>
      <c r="E106" s="4">
        <f>'Verduras y Frutas'!$A28*'Verduras y Frutas'!E28/100</f>
        <v>0</v>
      </c>
      <c r="F106" s="4">
        <f>'Verduras y Frutas'!$A28*'Verduras y Frutas'!F28/100</f>
        <v>0</v>
      </c>
      <c r="G106" s="4">
        <f>'Verduras y Frutas'!$A28*'Verduras y Frutas'!G28/100</f>
        <v>0</v>
      </c>
      <c r="H106" s="4">
        <f>'Verduras y Frutas'!$A28*'Verduras y Frutas'!H28/100</f>
        <v>0</v>
      </c>
      <c r="I106" s="4">
        <f>'Verduras y Frutas'!$A28*'Verduras y Frutas'!I28/100</f>
        <v>0</v>
      </c>
      <c r="J106" s="4">
        <f>'Verduras y Frutas'!$A28*'Verduras y Frutas'!J28/100</f>
        <v>0</v>
      </c>
      <c r="K106" s="4">
        <f>'Verduras y Frutas'!$A28*'Verduras y Frutas'!K28/100</f>
        <v>0</v>
      </c>
      <c r="L106" s="4">
        <f>'Verduras y Frutas'!$A28*'Verduras y Frutas'!L28/100</f>
        <v>0</v>
      </c>
      <c r="M106" s="4">
        <f>'Verduras y Frutas'!$A28*'Verduras y Frutas'!M28/100</f>
        <v>0</v>
      </c>
      <c r="N106" s="4">
        <f>'Verduras y Frutas'!$A28*'Verduras y Frutas'!N28/100</f>
        <v>0</v>
      </c>
      <c r="O106" s="4">
        <f>'Verduras y Frutas'!$A28*'Verduras y Frutas'!O28/100</f>
        <v>0</v>
      </c>
      <c r="P106" s="4">
        <f>'Verduras y Frutas'!$A28*'Verduras y Frutas'!P28/100</f>
        <v>0</v>
      </c>
      <c r="Q106" s="4">
        <f>'Verduras y Frutas'!$A28*'Verduras y Frutas'!Q28/100</f>
        <v>0</v>
      </c>
      <c r="R106" s="11">
        <f>'Verduras y Frutas'!$A28*'Verduras y Frutas'!R28/100</f>
        <v>0</v>
      </c>
      <c r="S106" s="11">
        <f>'Verduras y Frutas'!$A28*'Verduras y Frutas'!S28/100</f>
        <v>0</v>
      </c>
      <c r="T106" s="11">
        <f>'Verduras y Frutas'!$A28*'Verduras y Frutas'!T28/100</f>
        <v>0</v>
      </c>
      <c r="U106" s="11">
        <f>'Verduras y Frutas'!$A28*'Verduras y Frutas'!U28/100</f>
        <v>0</v>
      </c>
    </row>
    <row r="107" spans="1:21" x14ac:dyDescent="0.15">
      <c r="A107" s="10">
        <f>'Verduras y Frutas'!A29</f>
        <v>100</v>
      </c>
      <c r="B107" s="4" t="str">
        <f>'Verduras y Frutas'!B29</f>
        <v>Platanos</v>
      </c>
      <c r="C107" s="4">
        <f>'Verduras y Frutas'!$A29*'Verduras y Frutas'!C29/100</f>
        <v>76</v>
      </c>
      <c r="D107" s="4">
        <f>'Verduras y Frutas'!$A29*'Verduras y Frutas'!D29/100</f>
        <v>88</v>
      </c>
      <c r="E107" s="4">
        <f>'Verduras y Frutas'!$A29*'Verduras y Frutas'!E29/100</f>
        <v>1.2</v>
      </c>
      <c r="F107" s="4">
        <f>'Verduras y Frutas'!$A29*'Verduras y Frutas'!F29/100</f>
        <v>0.4</v>
      </c>
      <c r="G107" s="4">
        <f>'Verduras y Frutas'!$A29*'Verduras y Frutas'!G29/100</f>
        <v>20</v>
      </c>
      <c r="H107" s="4">
        <f>'Verduras y Frutas'!$A29*'Verduras y Frutas'!H29/100</f>
        <v>3</v>
      </c>
      <c r="I107" s="4">
        <f>'Verduras y Frutas'!$A29*'Verduras y Frutas'!I29/100</f>
        <v>380</v>
      </c>
      <c r="J107" s="4">
        <f>'Verduras y Frutas'!$A29*'Verduras y Frutas'!J29/100</f>
        <v>28</v>
      </c>
      <c r="K107" s="4">
        <f>'Verduras y Frutas'!$A29*'Verduras y Frutas'!K29/100</f>
        <v>9</v>
      </c>
      <c r="L107" s="4">
        <f>'Verduras y Frutas'!$A29*'Verduras y Frutas'!L29/100</f>
        <v>0.5</v>
      </c>
      <c r="M107" s="4">
        <f>'Verduras y Frutas'!$A29*'Verduras y Frutas'!M29/100</f>
        <v>10</v>
      </c>
      <c r="N107" s="4">
        <f>'Verduras y Frutas'!$A29*'Verduras y Frutas'!N29/100</f>
        <v>0.05</v>
      </c>
      <c r="O107" s="4">
        <f>'Verduras y Frutas'!$A29*'Verduras y Frutas'!O29/100</f>
        <v>7.0000000000000007E-2</v>
      </c>
      <c r="P107" s="4">
        <f>'Verduras y Frutas'!$A29*'Verduras y Frutas'!P29/100</f>
        <v>0.6</v>
      </c>
      <c r="Q107" s="4">
        <f>'Verduras y Frutas'!$A29*'Verduras y Frutas'!Q29/100</f>
        <v>238</v>
      </c>
      <c r="R107" s="11">
        <f>'Verduras y Frutas'!$A29*'Verduras y Frutas'!R29/100</f>
        <v>0</v>
      </c>
      <c r="S107" s="11">
        <f>'Verduras y Frutas'!$A29*'Verduras y Frutas'!S29/100</f>
        <v>0.15</v>
      </c>
      <c r="T107" s="11">
        <f>'Verduras y Frutas'!$A29*'Verduras y Frutas'!T29/100</f>
        <v>0</v>
      </c>
      <c r="U107" s="11">
        <f>'Verduras y Frutas'!$A29*'Verduras y Frutas'!U29/100</f>
        <v>33</v>
      </c>
    </row>
    <row r="108" spans="1:21" x14ac:dyDescent="0.15">
      <c r="A108" s="10">
        <f>'Verduras y Frutas'!A30</f>
        <v>0</v>
      </c>
      <c r="B108" s="4" t="str">
        <f>'Verduras y Frutas'!B30</f>
        <v>Higos</v>
      </c>
      <c r="C108" s="4">
        <f>'Verduras y Frutas'!$A30*'Verduras y Frutas'!C30/100</f>
        <v>0</v>
      </c>
      <c r="D108" s="4">
        <f>'Verduras y Frutas'!$A30*'Verduras y Frutas'!D30/100</f>
        <v>0</v>
      </c>
      <c r="E108" s="4">
        <f>'Verduras y Frutas'!$A30*'Verduras y Frutas'!E30/100</f>
        <v>0</v>
      </c>
      <c r="F108" s="4">
        <f>'Verduras y Frutas'!$A30*'Verduras y Frutas'!F30/100</f>
        <v>0</v>
      </c>
      <c r="G108" s="4">
        <f>'Verduras y Frutas'!$A30*'Verduras y Frutas'!G30/100</f>
        <v>0</v>
      </c>
      <c r="H108" s="4">
        <f>'Verduras y Frutas'!$A30*'Verduras y Frutas'!H30/100</f>
        <v>0</v>
      </c>
      <c r="I108" s="4">
        <f>'Verduras y Frutas'!$A30*'Verduras y Frutas'!I30/100</f>
        <v>0</v>
      </c>
      <c r="J108" s="4">
        <f>'Verduras y Frutas'!$A30*'Verduras y Frutas'!J30/100</f>
        <v>0</v>
      </c>
      <c r="K108" s="4">
        <f>'Verduras y Frutas'!$A30*'Verduras y Frutas'!K30/100</f>
        <v>0</v>
      </c>
      <c r="L108" s="4">
        <f>'Verduras y Frutas'!$A30*'Verduras y Frutas'!L30/100</f>
        <v>0</v>
      </c>
      <c r="M108" s="4">
        <f>'Verduras y Frutas'!$A30*'Verduras y Frutas'!M30/100</f>
        <v>0</v>
      </c>
      <c r="N108" s="4">
        <f>'Verduras y Frutas'!$A30*'Verduras y Frutas'!N30/100</f>
        <v>0</v>
      </c>
      <c r="O108" s="4">
        <f>'Verduras y Frutas'!$A30*'Verduras y Frutas'!O30/100</f>
        <v>0</v>
      </c>
      <c r="P108" s="4">
        <f>'Verduras y Frutas'!$A30*'Verduras y Frutas'!P30/100</f>
        <v>0</v>
      </c>
      <c r="Q108" s="4">
        <f>'Verduras y Frutas'!$A30*'Verduras y Frutas'!Q30/100</f>
        <v>0</v>
      </c>
      <c r="R108" s="11">
        <f>'Verduras y Frutas'!$A30*'Verduras y Frutas'!R30/100</f>
        <v>0</v>
      </c>
      <c r="S108" s="11">
        <f>'Verduras y Frutas'!$A30*'Verduras y Frutas'!S30/100</f>
        <v>0</v>
      </c>
      <c r="T108" s="11">
        <f>'Verduras y Frutas'!$A30*'Verduras y Frutas'!T30/100</f>
        <v>0</v>
      </c>
      <c r="U108" s="11">
        <f>'Verduras y Frutas'!$A30*'Verduras y Frutas'!U30/100</f>
        <v>0</v>
      </c>
    </row>
    <row r="109" spans="1:21" x14ac:dyDescent="0.15">
      <c r="A109" s="10">
        <f>'Verduras y Frutas'!A31</f>
        <v>0</v>
      </c>
      <c r="B109" s="4" t="str">
        <f>'Verduras y Frutas'!B31</f>
        <v>Melón y Sandia</v>
      </c>
      <c r="C109" s="4">
        <f>'Verduras y Frutas'!$A31*'Verduras y Frutas'!C31/100</f>
        <v>0</v>
      </c>
      <c r="D109" s="4">
        <f>'Verduras y Frutas'!$A31*'Verduras y Frutas'!D31/100</f>
        <v>0</v>
      </c>
      <c r="E109" s="4">
        <f>'Verduras y Frutas'!$A31*'Verduras y Frutas'!E31/100</f>
        <v>0</v>
      </c>
      <c r="F109" s="4">
        <f>'Verduras y Frutas'!$A31*'Verduras y Frutas'!F31/100</f>
        <v>0</v>
      </c>
      <c r="G109" s="4">
        <f>'Verduras y Frutas'!$A31*'Verduras y Frutas'!G31/100</f>
        <v>0</v>
      </c>
      <c r="H109" s="4">
        <f>'Verduras y Frutas'!$A31*'Verduras y Frutas'!H31/100</f>
        <v>0</v>
      </c>
      <c r="I109" s="4">
        <f>'Verduras y Frutas'!$A31*'Verduras y Frutas'!I31/100</f>
        <v>0</v>
      </c>
      <c r="J109" s="4">
        <f>'Verduras y Frutas'!$A31*'Verduras y Frutas'!J31/100</f>
        <v>0</v>
      </c>
      <c r="K109" s="4">
        <f>'Verduras y Frutas'!$A31*'Verduras y Frutas'!K31/100</f>
        <v>0</v>
      </c>
      <c r="L109" s="4">
        <f>'Verduras y Frutas'!$A31*'Verduras y Frutas'!L31/100</f>
        <v>0</v>
      </c>
      <c r="M109" s="4">
        <f>'Verduras y Frutas'!$A31*'Verduras y Frutas'!M31/100</f>
        <v>0</v>
      </c>
      <c r="N109" s="4">
        <f>'Verduras y Frutas'!$A31*'Verduras y Frutas'!N31/100</f>
        <v>0</v>
      </c>
      <c r="O109" s="4">
        <f>'Verduras y Frutas'!$A31*'Verduras y Frutas'!O31/100</f>
        <v>0</v>
      </c>
      <c r="P109" s="4">
        <f>'Verduras y Frutas'!$A31*'Verduras y Frutas'!P31/100</f>
        <v>0</v>
      </c>
      <c r="Q109" s="4">
        <f>'Verduras y Frutas'!$A31*'Verduras y Frutas'!Q31/100</f>
        <v>0</v>
      </c>
      <c r="R109" s="11">
        <f>'Verduras y Frutas'!$A31*'Verduras y Frutas'!R31/100</f>
        <v>0</v>
      </c>
      <c r="S109" s="11">
        <f>'Verduras y Frutas'!$A31*'Verduras y Frutas'!S31/100</f>
        <v>0</v>
      </c>
      <c r="T109" s="11">
        <f>'Verduras y Frutas'!$A31*'Verduras y Frutas'!T31/100</f>
        <v>0</v>
      </c>
      <c r="U109" s="11">
        <f>'Verduras y Frutas'!$A31*'Verduras y Frutas'!U31/100</f>
        <v>0</v>
      </c>
    </row>
    <row r="110" spans="1:21" x14ac:dyDescent="0.15">
      <c r="A110" s="10">
        <f>'Verduras y Frutas'!A32</f>
        <v>0</v>
      </c>
      <c r="B110" s="4" t="str">
        <f>'Verduras y Frutas'!B32</f>
        <v>Piña Fresca</v>
      </c>
      <c r="C110" s="4">
        <f>'Verduras y Frutas'!$A32*'Verduras y Frutas'!C32/100</f>
        <v>0</v>
      </c>
      <c r="D110" s="4">
        <f>'Verduras y Frutas'!$A32*'Verduras y Frutas'!D32/100</f>
        <v>0</v>
      </c>
      <c r="E110" s="4">
        <f>'Verduras y Frutas'!$A32*'Verduras y Frutas'!E32/100</f>
        <v>0</v>
      </c>
      <c r="F110" s="4">
        <f>'Verduras y Frutas'!$A32*'Verduras y Frutas'!F32/100</f>
        <v>0</v>
      </c>
      <c r="G110" s="4">
        <f>'Verduras y Frutas'!$A32*'Verduras y Frutas'!G32/100</f>
        <v>0</v>
      </c>
      <c r="H110" s="4">
        <f>'Verduras y Frutas'!$A32*'Verduras y Frutas'!H32/100</f>
        <v>0</v>
      </c>
      <c r="I110" s="4">
        <f>'Verduras y Frutas'!$A32*'Verduras y Frutas'!I32/100</f>
        <v>0</v>
      </c>
      <c r="J110" s="4">
        <f>'Verduras y Frutas'!$A32*'Verduras y Frutas'!J32/100</f>
        <v>0</v>
      </c>
      <c r="K110" s="4">
        <f>'Verduras y Frutas'!$A32*'Verduras y Frutas'!K32/100</f>
        <v>0</v>
      </c>
      <c r="L110" s="4">
        <f>'Verduras y Frutas'!$A32*'Verduras y Frutas'!L32/100</f>
        <v>0</v>
      </c>
      <c r="M110" s="4">
        <f>'Verduras y Frutas'!$A32*'Verduras y Frutas'!M32/100</f>
        <v>0</v>
      </c>
      <c r="N110" s="4">
        <f>'Verduras y Frutas'!$A32*'Verduras y Frutas'!N32/100</f>
        <v>0</v>
      </c>
      <c r="O110" s="4">
        <f>'Verduras y Frutas'!$A32*'Verduras y Frutas'!O32/100</f>
        <v>0</v>
      </c>
      <c r="P110" s="4">
        <f>'Verduras y Frutas'!$A32*'Verduras y Frutas'!P32/100</f>
        <v>0</v>
      </c>
      <c r="Q110" s="4">
        <f>'Verduras y Frutas'!$A32*'Verduras y Frutas'!Q32/100</f>
        <v>0</v>
      </c>
      <c r="R110" s="11">
        <f>'Verduras y Frutas'!$A32*'Verduras y Frutas'!R32/100</f>
        <v>0</v>
      </c>
      <c r="S110" s="11">
        <f>'Verduras y Frutas'!$A32*'Verduras y Frutas'!S32/100</f>
        <v>0</v>
      </c>
      <c r="T110" s="11">
        <f>'Verduras y Frutas'!$A32*'Verduras y Frutas'!T32/100</f>
        <v>0</v>
      </c>
      <c r="U110" s="11">
        <f>'Verduras y Frutas'!$A32*'Verduras y Frutas'!U32/100</f>
        <v>0</v>
      </c>
    </row>
    <row r="111" spans="1:21" x14ac:dyDescent="0.15">
      <c r="A111" s="10">
        <f>'Verduras y Frutas'!A33</f>
        <v>20</v>
      </c>
      <c r="B111" s="4" t="str">
        <f>'Verduras y Frutas'!B33</f>
        <v>Aguacate</v>
      </c>
      <c r="C111" s="4">
        <f>'Verduras y Frutas'!$A33*'Verduras y Frutas'!C33/100</f>
        <v>15.28</v>
      </c>
      <c r="D111" s="4">
        <f>'Verduras y Frutas'!$A33*'Verduras y Frutas'!D33/100</f>
        <v>27.6</v>
      </c>
      <c r="E111" s="4">
        <f>'Verduras y Frutas'!$A33*'Verduras y Frutas'!E33/100</f>
        <v>0.36</v>
      </c>
      <c r="F111" s="4">
        <f>'Verduras y Frutas'!$A33*'Verduras y Frutas'!F33/100</f>
        <v>2.84</v>
      </c>
      <c r="G111" s="4">
        <f>'Verduras y Frutas'!$A33*'Verduras y Frutas'!G33/100</f>
        <v>0.16</v>
      </c>
      <c r="H111" s="4">
        <f>'Verduras y Frutas'!$A33*'Verduras y Frutas'!H33/100</f>
        <v>1.4</v>
      </c>
      <c r="I111" s="4">
        <f>'Verduras y Frutas'!$A33*'Verduras y Frutas'!I33/100</f>
        <v>104.4</v>
      </c>
      <c r="J111" s="4">
        <f>'Verduras y Frutas'!$A33*'Verduras y Frutas'!J33/100</f>
        <v>8.8000000000000007</v>
      </c>
      <c r="K111" s="4">
        <f>'Verduras y Frutas'!$A33*'Verduras y Frutas'!K33/100</f>
        <v>3.2</v>
      </c>
      <c r="L111" s="4">
        <f>'Verduras y Frutas'!$A33*'Verduras y Frutas'!L33/100</f>
        <v>0.2</v>
      </c>
      <c r="M111" s="4">
        <f>'Verduras y Frutas'!$A33*'Verduras y Frutas'!M33/100</f>
        <v>2.2000000000000002</v>
      </c>
      <c r="N111" s="4">
        <f>'Verduras y Frutas'!$A33*'Verduras y Frutas'!N33/100</f>
        <v>1.4000000000000002E-2</v>
      </c>
      <c r="O111" s="4">
        <f>'Verduras y Frutas'!$A33*'Verduras y Frutas'!O33/100</f>
        <v>3.2000000000000001E-2</v>
      </c>
      <c r="P111" s="4">
        <f>'Verduras y Frutas'!$A33*'Verduras y Frutas'!P33/100</f>
        <v>0.4</v>
      </c>
      <c r="Q111" s="4">
        <f>'Verduras y Frutas'!$A33*'Verduras y Frutas'!Q33/100</f>
        <v>37</v>
      </c>
      <c r="R111" s="11">
        <f>'Verduras y Frutas'!$A33*'Verduras y Frutas'!R33/100</f>
        <v>0</v>
      </c>
      <c r="S111" s="11">
        <f>'Verduras y Frutas'!$A33*'Verduras y Frutas'!S33/100</f>
        <v>6.8000000000000005E-2</v>
      </c>
      <c r="T111" s="11">
        <f>'Verduras y Frutas'!$A33*'Verduras y Frutas'!T33/100</f>
        <v>0</v>
      </c>
      <c r="U111" s="11">
        <f>'Verduras y Frutas'!$A33*'Verduras y Frutas'!U33/100</f>
        <v>6.6</v>
      </c>
    </row>
    <row r="112" spans="1:21" x14ac:dyDescent="0.15">
      <c r="A112" s="10">
        <f>'Verduras y Frutas'!A34</f>
        <v>0</v>
      </c>
      <c r="B112" s="4">
        <f>'Verduras y Frutas'!B34</f>
        <v>0</v>
      </c>
      <c r="C112" s="4">
        <f>'Verduras y Frutas'!$A34*'Verduras y Frutas'!C34/100</f>
        <v>0</v>
      </c>
      <c r="D112" s="4">
        <f>'Verduras y Frutas'!$A34*'Verduras y Frutas'!D34/100</f>
        <v>0</v>
      </c>
      <c r="E112" s="4">
        <f>'Verduras y Frutas'!$A34*'Verduras y Frutas'!E34/100</f>
        <v>0</v>
      </c>
      <c r="F112" s="4">
        <f>'Verduras y Frutas'!$A34*'Verduras y Frutas'!F34/100</f>
        <v>0</v>
      </c>
      <c r="G112" s="4">
        <f>'Verduras y Frutas'!$A34*'Verduras y Frutas'!G34/100</f>
        <v>0</v>
      </c>
      <c r="H112" s="4">
        <f>'Verduras y Frutas'!$A34*'Verduras y Frutas'!H34/100</f>
        <v>0</v>
      </c>
      <c r="I112" s="4">
        <f>'Verduras y Frutas'!$A34*'Verduras y Frutas'!I34/100</f>
        <v>0</v>
      </c>
      <c r="J112" s="4">
        <f>'Verduras y Frutas'!$A34*'Verduras y Frutas'!J34/100</f>
        <v>0</v>
      </c>
      <c r="K112" s="4">
        <f>'Verduras y Frutas'!$A34*'Verduras y Frutas'!K34/100</f>
        <v>0</v>
      </c>
      <c r="L112" s="4">
        <f>'Verduras y Frutas'!$A34*'Verduras y Frutas'!L34/100</f>
        <v>0</v>
      </c>
      <c r="M112" s="4">
        <f>'Verduras y Frutas'!$A34*'Verduras y Frutas'!M34/100</f>
        <v>0</v>
      </c>
      <c r="N112" s="4">
        <f>'Verduras y Frutas'!$A34*'Verduras y Frutas'!N34/100</f>
        <v>0</v>
      </c>
      <c r="O112" s="4">
        <f>'Verduras y Frutas'!$A34*'Verduras y Frutas'!O34/100</f>
        <v>0</v>
      </c>
      <c r="P112" s="4">
        <f>'Verduras y Frutas'!$A34*'Verduras y Frutas'!P34/100</f>
        <v>0</v>
      </c>
      <c r="Q112" s="4">
        <f>'Verduras y Frutas'!$A34*'Verduras y Frutas'!Q34/100</f>
        <v>0</v>
      </c>
      <c r="R112" s="11">
        <f>'Verduras y Frutas'!$A34*'Verduras y Frutas'!R34/100</f>
        <v>0</v>
      </c>
      <c r="S112" s="11">
        <f>'Verduras y Frutas'!$A34*'Verduras y Frutas'!S34/100</f>
        <v>0</v>
      </c>
      <c r="T112" s="11">
        <f>'Verduras y Frutas'!$A34*'Verduras y Frutas'!T34/100</f>
        <v>0</v>
      </c>
      <c r="U112" s="11">
        <f>'Verduras y Frutas'!$A34*'Verduras y Frutas'!U34/100</f>
        <v>0</v>
      </c>
    </row>
    <row r="113" spans="1:21" x14ac:dyDescent="0.15">
      <c r="A113" s="10">
        <f>'Verduras y Frutas'!A35</f>
        <v>0</v>
      </c>
      <c r="B113" s="4">
        <f>'Verduras y Frutas'!B35</f>
        <v>0</v>
      </c>
      <c r="C113" s="4">
        <f>'Verduras y Frutas'!$A35*'Verduras y Frutas'!C35/100</f>
        <v>0</v>
      </c>
      <c r="D113" s="4">
        <f>'Verduras y Frutas'!$A35*'Verduras y Frutas'!D35/100</f>
        <v>0</v>
      </c>
      <c r="E113" s="4">
        <f>'Verduras y Frutas'!$A35*'Verduras y Frutas'!E35/100</f>
        <v>0</v>
      </c>
      <c r="F113" s="4">
        <f>'Verduras y Frutas'!$A35*'Verduras y Frutas'!F35/100</f>
        <v>0</v>
      </c>
      <c r="G113" s="4">
        <f>'Verduras y Frutas'!$A35*'Verduras y Frutas'!G35/100</f>
        <v>0</v>
      </c>
      <c r="H113" s="4">
        <f>'Verduras y Frutas'!$A35*'Verduras y Frutas'!H35/100</f>
        <v>0</v>
      </c>
      <c r="I113" s="4">
        <f>'Verduras y Frutas'!$A35*'Verduras y Frutas'!I35/100</f>
        <v>0</v>
      </c>
      <c r="J113" s="4">
        <f>'Verduras y Frutas'!$A35*'Verduras y Frutas'!J35/100</f>
        <v>0</v>
      </c>
      <c r="K113" s="4">
        <f>'Verduras y Frutas'!$A35*'Verduras y Frutas'!K35/100</f>
        <v>0</v>
      </c>
      <c r="L113" s="4">
        <f>'Verduras y Frutas'!$A35*'Verduras y Frutas'!L35/100</f>
        <v>0</v>
      </c>
      <c r="M113" s="4">
        <f>'Verduras y Frutas'!$A35*'Verduras y Frutas'!M35/100</f>
        <v>0</v>
      </c>
      <c r="N113" s="4">
        <f>'Verduras y Frutas'!$A35*'Verduras y Frutas'!N35/100</f>
        <v>0</v>
      </c>
      <c r="O113" s="4">
        <f>'Verduras y Frutas'!$A35*'Verduras y Frutas'!O35/100</f>
        <v>0</v>
      </c>
      <c r="P113" s="4">
        <f>'Verduras y Frutas'!$A35*'Verduras y Frutas'!P35/100</f>
        <v>0</v>
      </c>
      <c r="Q113" s="4">
        <f>'Verduras y Frutas'!$A35*'Verduras y Frutas'!Q35/100</f>
        <v>0</v>
      </c>
      <c r="R113" s="11">
        <f>'Verduras y Frutas'!$A35*'Verduras y Frutas'!R35/100</f>
        <v>0</v>
      </c>
      <c r="S113" s="11">
        <f>'Verduras y Frutas'!$A35*'Verduras y Frutas'!S35/100</f>
        <v>0</v>
      </c>
      <c r="T113" s="11">
        <f>'Verduras y Frutas'!$A35*'Verduras y Frutas'!T35/100</f>
        <v>0</v>
      </c>
      <c r="U113" s="11">
        <f>'Verduras y Frutas'!$A35*'Verduras y Frutas'!U35/100</f>
        <v>0</v>
      </c>
    </row>
    <row r="114" spans="1:21" x14ac:dyDescent="0.15">
      <c r="A114" s="10">
        <f>'Frutos Secos y Aceites'!A4</f>
        <v>0</v>
      </c>
      <c r="B114" s="4" t="str">
        <f>'Frutos Secos y Aceites'!B4</f>
        <v>Dátiles</v>
      </c>
      <c r="C114" s="4">
        <f>'Frutos Secos y Aceites'!$A4*'Frutos Secos y Aceites'!C4/100</f>
        <v>0</v>
      </c>
      <c r="D114" s="4">
        <f>'Frutos Secos y Aceites'!$A4*'Frutos Secos y Aceites'!D4/100</f>
        <v>0</v>
      </c>
      <c r="E114" s="4">
        <f>'Frutos Secos y Aceites'!$A4*'Frutos Secos y Aceites'!E4/100</f>
        <v>0</v>
      </c>
      <c r="F114" s="4">
        <f>'Frutos Secos y Aceites'!$A4*'Frutos Secos y Aceites'!F4/100</f>
        <v>0</v>
      </c>
      <c r="G114" s="4">
        <f>'Frutos Secos y Aceites'!$A4*'Frutos Secos y Aceites'!G4/100</f>
        <v>0</v>
      </c>
      <c r="H114" s="4">
        <f>'Frutos Secos y Aceites'!$A4*'Frutos Secos y Aceites'!H4/100</f>
        <v>0</v>
      </c>
      <c r="I114" s="4">
        <f>'Frutos Secos y Aceites'!$A4*'Frutos Secos y Aceites'!I4/100</f>
        <v>0</v>
      </c>
      <c r="J114" s="4">
        <f>'Frutos Secos y Aceites'!$A4*'Frutos Secos y Aceites'!J4/100</f>
        <v>0</v>
      </c>
      <c r="K114" s="4">
        <f>'Frutos Secos y Aceites'!$A4*'Frutos Secos y Aceites'!K4/100</f>
        <v>0</v>
      </c>
      <c r="L114" s="4">
        <f>'Frutos Secos y Aceites'!$A4*'Frutos Secos y Aceites'!L4/100</f>
        <v>0</v>
      </c>
      <c r="M114" s="4">
        <f>'Frutos Secos y Aceites'!$A4*'Frutos Secos y Aceites'!M4/100</f>
        <v>0</v>
      </c>
      <c r="N114" s="4">
        <f>'Frutos Secos y Aceites'!$A4*'Frutos Secos y Aceites'!N4/100</f>
        <v>0</v>
      </c>
      <c r="O114" s="4">
        <f>'Frutos Secos y Aceites'!$A4*'Frutos Secos y Aceites'!O4/100</f>
        <v>0</v>
      </c>
      <c r="P114" s="4">
        <f>'Frutos Secos y Aceites'!$A4*'Frutos Secos y Aceites'!P4/100</f>
        <v>0</v>
      </c>
      <c r="Q114" s="4">
        <f>'Frutos Secos y Aceites'!$A4*'Frutos Secos y Aceites'!Q4/100</f>
        <v>0</v>
      </c>
      <c r="R114" s="11">
        <f>'Frutos Secos y Aceites'!$A4*'Frutos Secos y Aceites'!R4/100</f>
        <v>0</v>
      </c>
      <c r="S114" s="11">
        <f>'Frutos Secos y Aceites'!$A4*'Frutos Secos y Aceites'!S4/100</f>
        <v>0</v>
      </c>
      <c r="T114" s="11">
        <f>'Frutos Secos y Aceites'!$A4*'Frutos Secos y Aceites'!T4/100</f>
        <v>0</v>
      </c>
      <c r="U114" s="11">
        <f>'Frutos Secos y Aceites'!$A4*'Frutos Secos y Aceites'!U4/100</f>
        <v>0</v>
      </c>
    </row>
    <row r="115" spans="1:21" x14ac:dyDescent="0.15">
      <c r="A115" s="10">
        <f>'Frutos Secos y Aceites'!A5</f>
        <v>0</v>
      </c>
      <c r="B115" s="4" t="str">
        <f>'Frutos Secos y Aceites'!B5</f>
        <v>Higos,secos</v>
      </c>
      <c r="C115" s="4">
        <f>'Frutos Secos y Aceites'!$A5*'Frutos Secos y Aceites'!C5/100</f>
        <v>0</v>
      </c>
      <c r="D115" s="4">
        <f>'Frutos Secos y Aceites'!$A5*'Frutos Secos y Aceites'!D5/100</f>
        <v>0</v>
      </c>
      <c r="E115" s="4">
        <f>'Frutos Secos y Aceites'!$A5*'Frutos Secos y Aceites'!E5/100</f>
        <v>0</v>
      </c>
      <c r="F115" s="4">
        <f>'Frutos Secos y Aceites'!$A5*'Frutos Secos y Aceites'!F5/100</f>
        <v>0</v>
      </c>
      <c r="G115" s="4">
        <f>'Frutos Secos y Aceites'!$A5*'Frutos Secos y Aceites'!G5/100</f>
        <v>0</v>
      </c>
      <c r="H115" s="4">
        <f>'Frutos Secos y Aceites'!$A5*'Frutos Secos y Aceites'!H5/100</f>
        <v>0</v>
      </c>
      <c r="I115" s="4">
        <f>'Frutos Secos y Aceites'!$A5*'Frutos Secos y Aceites'!I5/100</f>
        <v>0</v>
      </c>
      <c r="J115" s="4">
        <f>'Frutos Secos y Aceites'!$A5*'Frutos Secos y Aceites'!J5/100</f>
        <v>0</v>
      </c>
      <c r="K115" s="4">
        <f>'Frutos Secos y Aceites'!$A5*'Frutos Secos y Aceites'!K5/100</f>
        <v>0</v>
      </c>
      <c r="L115" s="4">
        <f>'Frutos Secos y Aceites'!$A5*'Frutos Secos y Aceites'!L5/100</f>
        <v>0</v>
      </c>
      <c r="M115" s="4">
        <f>'Frutos Secos y Aceites'!$A5*'Frutos Secos y Aceites'!M5/100</f>
        <v>0</v>
      </c>
      <c r="N115" s="4">
        <f>'Frutos Secos y Aceites'!$A5*'Frutos Secos y Aceites'!N5/100</f>
        <v>0</v>
      </c>
      <c r="O115" s="4">
        <f>'Frutos Secos y Aceites'!$A5*'Frutos Secos y Aceites'!O5/100</f>
        <v>0</v>
      </c>
      <c r="P115" s="4">
        <f>'Frutos Secos y Aceites'!$A5*'Frutos Secos y Aceites'!P5/100</f>
        <v>0</v>
      </c>
      <c r="Q115" s="4">
        <f>'Frutos Secos y Aceites'!$A5*'Frutos Secos y Aceites'!Q5/100</f>
        <v>0</v>
      </c>
      <c r="R115" s="11">
        <f>'Frutos Secos y Aceites'!$A5*'Frutos Secos y Aceites'!R5/100</f>
        <v>0</v>
      </c>
      <c r="S115" s="11">
        <f>'Frutos Secos y Aceites'!$A5*'Frutos Secos y Aceites'!S5/100</f>
        <v>0</v>
      </c>
      <c r="T115" s="11">
        <f>'Frutos Secos y Aceites'!$A5*'Frutos Secos y Aceites'!T5/100</f>
        <v>0</v>
      </c>
      <c r="U115" s="11">
        <f>'Frutos Secos y Aceites'!$A5*'Frutos Secos y Aceites'!U5/100</f>
        <v>0</v>
      </c>
    </row>
    <row r="116" spans="1:21" x14ac:dyDescent="0.15">
      <c r="A116" s="10">
        <f>'Frutos Secos y Aceites'!A6</f>
        <v>0</v>
      </c>
      <c r="B116" s="4" t="str">
        <f>'Frutos Secos y Aceites'!B6</f>
        <v>Ciruelas, secas</v>
      </c>
      <c r="C116" s="4">
        <f>'Frutos Secos y Aceites'!$A6*'Frutos Secos y Aceites'!C6/100</f>
        <v>0</v>
      </c>
      <c r="D116" s="4">
        <f>'Frutos Secos y Aceites'!$A6*'Frutos Secos y Aceites'!D6/100</f>
        <v>0</v>
      </c>
      <c r="E116" s="4">
        <f>'Frutos Secos y Aceites'!$A6*'Frutos Secos y Aceites'!E6/100</f>
        <v>0</v>
      </c>
      <c r="F116" s="4">
        <f>'Frutos Secos y Aceites'!$A6*'Frutos Secos y Aceites'!F6/100</f>
        <v>0</v>
      </c>
      <c r="G116" s="4">
        <f>'Frutos Secos y Aceites'!$A6*'Frutos Secos y Aceites'!G6/100</f>
        <v>0</v>
      </c>
      <c r="H116" s="4">
        <f>'Frutos Secos y Aceites'!$A6*'Frutos Secos y Aceites'!H6/100</f>
        <v>0</v>
      </c>
      <c r="I116" s="4">
        <f>'Frutos Secos y Aceites'!$A6*'Frutos Secos y Aceites'!I6/100</f>
        <v>0</v>
      </c>
      <c r="J116" s="4">
        <f>'Frutos Secos y Aceites'!$A6*'Frutos Secos y Aceites'!J6/100</f>
        <v>0</v>
      </c>
      <c r="K116" s="4">
        <f>'Frutos Secos y Aceites'!$A6*'Frutos Secos y Aceites'!K6/100</f>
        <v>0</v>
      </c>
      <c r="L116" s="4">
        <f>'Frutos Secos y Aceites'!$A6*'Frutos Secos y Aceites'!L6/100</f>
        <v>0</v>
      </c>
      <c r="M116" s="4">
        <f>'Frutos Secos y Aceites'!$A6*'Frutos Secos y Aceites'!M6/100</f>
        <v>0</v>
      </c>
      <c r="N116" s="4">
        <f>'Frutos Secos y Aceites'!$A6*'Frutos Secos y Aceites'!N6/100</f>
        <v>0</v>
      </c>
      <c r="O116" s="4">
        <f>'Frutos Secos y Aceites'!$A6*'Frutos Secos y Aceites'!O6/100</f>
        <v>0</v>
      </c>
      <c r="P116" s="4">
        <f>'Frutos Secos y Aceites'!$A6*'Frutos Secos y Aceites'!P6/100</f>
        <v>0</v>
      </c>
      <c r="Q116" s="4">
        <f>'Frutos Secos y Aceites'!$A6*'Frutos Secos y Aceites'!Q6/100</f>
        <v>0</v>
      </c>
      <c r="R116" s="11">
        <f>'Frutos Secos y Aceites'!$A6*'Frutos Secos y Aceites'!R6/100</f>
        <v>0</v>
      </c>
      <c r="S116" s="11">
        <f>'Frutos Secos y Aceites'!$A6*'Frutos Secos y Aceites'!S6/100</f>
        <v>0</v>
      </c>
      <c r="T116" s="11">
        <f>'Frutos Secos y Aceites'!$A6*'Frutos Secos y Aceites'!T6/100</f>
        <v>0</v>
      </c>
      <c r="U116" s="11">
        <f>'Frutos Secos y Aceites'!$A6*'Frutos Secos y Aceites'!U6/100</f>
        <v>0</v>
      </c>
    </row>
    <row r="117" spans="1:21" x14ac:dyDescent="0.15">
      <c r="A117" s="10">
        <f>'Frutos Secos y Aceites'!A7</f>
        <v>0</v>
      </c>
      <c r="B117" s="4" t="str">
        <f>'Frutos Secos y Aceites'!B7</f>
        <v>Almendas, Avellanas, Nueces</v>
      </c>
      <c r="C117" s="4">
        <f>'Frutos Secos y Aceites'!$A7*'Frutos Secos y Aceites'!C7/100</f>
        <v>0</v>
      </c>
      <c r="D117" s="4">
        <f>'Frutos Secos y Aceites'!$A7*'Frutos Secos y Aceites'!D7/100</f>
        <v>0</v>
      </c>
      <c r="E117" s="4">
        <f>'Frutos Secos y Aceites'!$A7*'Frutos Secos y Aceites'!E7/100</f>
        <v>0</v>
      </c>
      <c r="F117" s="4">
        <f>'Frutos Secos y Aceites'!$A7*'Frutos Secos y Aceites'!F7/100</f>
        <v>0</v>
      </c>
      <c r="G117" s="4">
        <f>'Frutos Secos y Aceites'!$A7*'Frutos Secos y Aceites'!G7/100</f>
        <v>0</v>
      </c>
      <c r="H117" s="4">
        <f>'Frutos Secos y Aceites'!$A7*'Frutos Secos y Aceites'!H7/100</f>
        <v>0</v>
      </c>
      <c r="I117" s="4">
        <f>'Frutos Secos y Aceites'!$A7*'Frutos Secos y Aceites'!I7/100</f>
        <v>0</v>
      </c>
      <c r="J117" s="4">
        <f>'Frutos Secos y Aceites'!$A7*'Frutos Secos y Aceites'!J7/100</f>
        <v>0</v>
      </c>
      <c r="K117" s="4">
        <f>'Frutos Secos y Aceites'!$A7*'Frutos Secos y Aceites'!K7/100</f>
        <v>0</v>
      </c>
      <c r="L117" s="4">
        <f>'Frutos Secos y Aceites'!$A7*'Frutos Secos y Aceites'!L7/100</f>
        <v>0</v>
      </c>
      <c r="M117" s="4">
        <f>'Frutos Secos y Aceites'!$A7*'Frutos Secos y Aceites'!M7/100</f>
        <v>0</v>
      </c>
      <c r="N117" s="4">
        <f>'Frutos Secos y Aceites'!$A7*'Frutos Secos y Aceites'!N7/100</f>
        <v>0</v>
      </c>
      <c r="O117" s="4">
        <f>'Frutos Secos y Aceites'!$A7*'Frutos Secos y Aceites'!O7/100</f>
        <v>0</v>
      </c>
      <c r="P117" s="4">
        <f>'Frutos Secos y Aceites'!$A7*'Frutos Secos y Aceites'!P7/100</f>
        <v>0</v>
      </c>
      <c r="Q117" s="4">
        <f>'Frutos Secos y Aceites'!$A7*'Frutos Secos y Aceites'!Q7/100</f>
        <v>0</v>
      </c>
      <c r="R117" s="11">
        <f>'Frutos Secos y Aceites'!$A7*'Frutos Secos y Aceites'!R7/100</f>
        <v>0</v>
      </c>
      <c r="S117" s="11">
        <f>'Frutos Secos y Aceites'!$A7*'Frutos Secos y Aceites'!S7/100</f>
        <v>0</v>
      </c>
      <c r="T117" s="11">
        <f>'Frutos Secos y Aceites'!$A7*'Frutos Secos y Aceites'!T7/100</f>
        <v>0</v>
      </c>
      <c r="U117" s="11">
        <f>'Frutos Secos y Aceites'!$A7*'Frutos Secos y Aceites'!U7/100</f>
        <v>0</v>
      </c>
    </row>
    <row r="118" spans="1:21" x14ac:dyDescent="0.15">
      <c r="A118" s="10">
        <f>'Frutos Secos y Aceites'!A8</f>
        <v>0</v>
      </c>
      <c r="B118" s="4" t="str">
        <f>'Frutos Secos y Aceites'!B8</f>
        <v>Cacahuetes y Almendras Salados</v>
      </c>
      <c r="C118" s="4">
        <f>'Frutos Secos y Aceites'!$A8*'Frutos Secos y Aceites'!C8/100</f>
        <v>0</v>
      </c>
      <c r="D118" s="4">
        <f>'Frutos Secos y Aceites'!$A8*'Frutos Secos y Aceites'!D8/100</f>
        <v>0</v>
      </c>
      <c r="E118" s="4">
        <f>'Frutos Secos y Aceites'!$A8*'Frutos Secos y Aceites'!E8/100</f>
        <v>0</v>
      </c>
      <c r="F118" s="4">
        <f>'Frutos Secos y Aceites'!$A8*'Frutos Secos y Aceites'!F8/100</f>
        <v>0</v>
      </c>
      <c r="G118" s="4">
        <f>'Frutos Secos y Aceites'!$A8*'Frutos Secos y Aceites'!G8/100</f>
        <v>0</v>
      </c>
      <c r="H118" s="4">
        <f>'Frutos Secos y Aceites'!$A8*'Frutos Secos y Aceites'!H8/100</f>
        <v>0</v>
      </c>
      <c r="I118" s="4">
        <f>'Frutos Secos y Aceites'!$A8*'Frutos Secos y Aceites'!I8/100</f>
        <v>0</v>
      </c>
      <c r="J118" s="4">
        <f>'Frutos Secos y Aceites'!$A8*'Frutos Secos y Aceites'!J8/100</f>
        <v>0</v>
      </c>
      <c r="K118" s="4">
        <f>'Frutos Secos y Aceites'!$A8*'Frutos Secos y Aceites'!K8/100</f>
        <v>0</v>
      </c>
      <c r="L118" s="4">
        <f>'Frutos Secos y Aceites'!$A8*'Frutos Secos y Aceites'!L8/100</f>
        <v>0</v>
      </c>
      <c r="M118" s="4">
        <f>'Frutos Secos y Aceites'!$A8*'Frutos Secos y Aceites'!M8/100</f>
        <v>0</v>
      </c>
      <c r="N118" s="4">
        <f>'Frutos Secos y Aceites'!$A8*'Frutos Secos y Aceites'!N8/100</f>
        <v>0</v>
      </c>
      <c r="O118" s="4">
        <f>'Frutos Secos y Aceites'!$A8*'Frutos Secos y Aceites'!O8/100</f>
        <v>0</v>
      </c>
      <c r="P118" s="4">
        <f>'Frutos Secos y Aceites'!$A8*'Frutos Secos y Aceites'!P8/100</f>
        <v>0</v>
      </c>
      <c r="Q118" s="4">
        <f>'Frutos Secos y Aceites'!$A8*'Frutos Secos y Aceites'!Q8/100</f>
        <v>0</v>
      </c>
      <c r="R118" s="11">
        <f>'Frutos Secos y Aceites'!$A8*'Frutos Secos y Aceites'!R8/100</f>
        <v>0</v>
      </c>
      <c r="S118" s="11">
        <f>'Frutos Secos y Aceites'!$A8*'Frutos Secos y Aceites'!S8/100</f>
        <v>0</v>
      </c>
      <c r="T118" s="11">
        <f>'Frutos Secos y Aceites'!$A8*'Frutos Secos y Aceites'!T8/100</f>
        <v>0</v>
      </c>
      <c r="U118" s="11">
        <f>'Frutos Secos y Aceites'!$A8*'Frutos Secos y Aceites'!U8/100</f>
        <v>0</v>
      </c>
    </row>
    <row r="119" spans="1:21" x14ac:dyDescent="0.15">
      <c r="A119" s="10">
        <f>'Frutos Secos y Aceites'!A9</f>
        <v>0</v>
      </c>
      <c r="B119" s="4" t="str">
        <f>'Frutos Secos y Aceites'!B9</f>
        <v>Castañas</v>
      </c>
      <c r="C119" s="4">
        <f>'Frutos Secos y Aceites'!$A9*'Frutos Secos y Aceites'!C9/100</f>
        <v>0</v>
      </c>
      <c r="D119" s="4">
        <f>'Frutos Secos y Aceites'!$A9*'Frutos Secos y Aceites'!D9/100</f>
        <v>0</v>
      </c>
      <c r="E119" s="4">
        <f>'Frutos Secos y Aceites'!$A9*'Frutos Secos y Aceites'!E9/100</f>
        <v>0</v>
      </c>
      <c r="F119" s="4">
        <f>'Frutos Secos y Aceites'!$A9*'Frutos Secos y Aceites'!F9/100</f>
        <v>0</v>
      </c>
      <c r="G119" s="4">
        <f>'Frutos Secos y Aceites'!$A9*'Frutos Secos y Aceites'!G9/100</f>
        <v>0</v>
      </c>
      <c r="H119" s="4">
        <f>'Frutos Secos y Aceites'!$A9*'Frutos Secos y Aceites'!H9/100</f>
        <v>0</v>
      </c>
      <c r="I119" s="4">
        <f>'Frutos Secos y Aceites'!$A9*'Frutos Secos y Aceites'!I9/100</f>
        <v>0</v>
      </c>
      <c r="J119" s="4">
        <f>'Frutos Secos y Aceites'!$A9*'Frutos Secos y Aceites'!J9/100</f>
        <v>0</v>
      </c>
      <c r="K119" s="4">
        <f>'Frutos Secos y Aceites'!$A9*'Frutos Secos y Aceites'!K9/100</f>
        <v>0</v>
      </c>
      <c r="L119" s="4">
        <f>'Frutos Secos y Aceites'!$A9*'Frutos Secos y Aceites'!L9/100</f>
        <v>0</v>
      </c>
      <c r="M119" s="4">
        <f>'Frutos Secos y Aceites'!$A9*'Frutos Secos y Aceites'!M9/100</f>
        <v>0</v>
      </c>
      <c r="N119" s="4">
        <f>'Frutos Secos y Aceites'!$A9*'Frutos Secos y Aceites'!N9/100</f>
        <v>0</v>
      </c>
      <c r="O119" s="4">
        <f>'Frutos Secos y Aceites'!$A9*'Frutos Secos y Aceites'!O9/100</f>
        <v>0</v>
      </c>
      <c r="P119" s="4">
        <f>'Frutos Secos y Aceites'!$A9*'Frutos Secos y Aceites'!P9/100</f>
        <v>0</v>
      </c>
      <c r="Q119" s="4">
        <f>'Frutos Secos y Aceites'!$A9*'Frutos Secos y Aceites'!Q9/100</f>
        <v>0</v>
      </c>
      <c r="R119" s="11">
        <f>'Frutos Secos y Aceites'!$A9*'Frutos Secos y Aceites'!R9/100</f>
        <v>0</v>
      </c>
      <c r="S119" s="11">
        <f>'Frutos Secos y Aceites'!$A9*'Frutos Secos y Aceites'!S9/100</f>
        <v>0</v>
      </c>
      <c r="T119" s="11">
        <f>'Frutos Secos y Aceites'!$A9*'Frutos Secos y Aceites'!T9/100</f>
        <v>0</v>
      </c>
      <c r="U119" s="11">
        <f>'Frutos Secos y Aceites'!$A9*'Frutos Secos y Aceites'!U9/100</f>
        <v>0</v>
      </c>
    </row>
    <row r="120" spans="1:21" x14ac:dyDescent="0.15">
      <c r="A120" s="10">
        <f>'Frutos Secos y Aceites'!A10</f>
        <v>0</v>
      </c>
      <c r="B120" s="4" t="str">
        <f>'Frutos Secos y Aceites'!B10</f>
        <v>Pasas</v>
      </c>
      <c r="C120" s="4">
        <f>'Frutos Secos y Aceites'!$A10*'Frutos Secos y Aceites'!C10/100</f>
        <v>0</v>
      </c>
      <c r="D120" s="4">
        <f>'Frutos Secos y Aceites'!$A10*'Frutos Secos y Aceites'!D10/100</f>
        <v>0</v>
      </c>
      <c r="E120" s="4">
        <f>'Frutos Secos y Aceites'!$A10*'Frutos Secos y Aceites'!E10/100</f>
        <v>0</v>
      </c>
      <c r="F120" s="4">
        <f>'Frutos Secos y Aceites'!$A10*'Frutos Secos y Aceites'!F10/100</f>
        <v>0</v>
      </c>
      <c r="G120" s="4">
        <f>'Frutos Secos y Aceites'!$A10*'Frutos Secos y Aceites'!G10/100</f>
        <v>0</v>
      </c>
      <c r="H120" s="4">
        <f>'Frutos Secos y Aceites'!$A10*'Frutos Secos y Aceites'!H10/100</f>
        <v>0</v>
      </c>
      <c r="I120" s="4">
        <f>'Frutos Secos y Aceites'!$A10*'Frutos Secos y Aceites'!I10/100</f>
        <v>0</v>
      </c>
      <c r="J120" s="4">
        <f>'Frutos Secos y Aceites'!$A10*'Frutos Secos y Aceites'!J10/100</f>
        <v>0</v>
      </c>
      <c r="K120" s="4">
        <f>'Frutos Secos y Aceites'!$A10*'Frutos Secos y Aceites'!K10/100</f>
        <v>0</v>
      </c>
      <c r="L120" s="4">
        <f>'Frutos Secos y Aceites'!$A10*'Frutos Secos y Aceites'!L10/100</f>
        <v>0</v>
      </c>
      <c r="M120" s="4">
        <f>'Frutos Secos y Aceites'!$A10*'Frutos Secos y Aceites'!M10/100</f>
        <v>0</v>
      </c>
      <c r="N120" s="4">
        <f>'Frutos Secos y Aceites'!$A10*'Frutos Secos y Aceites'!N10/100</f>
        <v>0</v>
      </c>
      <c r="O120" s="4">
        <f>'Frutos Secos y Aceites'!$A10*'Frutos Secos y Aceites'!O10/100</f>
        <v>0</v>
      </c>
      <c r="P120" s="4">
        <f>'Frutos Secos y Aceites'!$A10*'Frutos Secos y Aceites'!P10/100</f>
        <v>0</v>
      </c>
      <c r="Q120" s="4">
        <f>'Frutos Secos y Aceites'!$A10*'Frutos Secos y Aceites'!Q10/100</f>
        <v>0</v>
      </c>
      <c r="R120" s="11">
        <f>'Frutos Secos y Aceites'!$A10*'Frutos Secos y Aceites'!R10/100</f>
        <v>0</v>
      </c>
      <c r="S120" s="11">
        <f>'Frutos Secos y Aceites'!$A10*'Frutos Secos y Aceites'!S10/100</f>
        <v>0</v>
      </c>
      <c r="T120" s="11">
        <f>'Frutos Secos y Aceites'!$A10*'Frutos Secos y Aceites'!T10/100</f>
        <v>0</v>
      </c>
      <c r="U120" s="11">
        <f>'Frutos Secos y Aceites'!$A10*'Frutos Secos y Aceites'!U10/100</f>
        <v>0</v>
      </c>
    </row>
    <row r="121" spans="1:21" x14ac:dyDescent="0.15">
      <c r="A121" s="10">
        <f>'Frutos Secos y Aceites'!A11</f>
        <v>0</v>
      </c>
      <c r="B121" s="4">
        <f>'Frutos Secos y Aceites'!B11</f>
        <v>0</v>
      </c>
      <c r="C121" s="4">
        <f>'Frutos Secos y Aceites'!$A11*'Frutos Secos y Aceites'!C11/100</f>
        <v>0</v>
      </c>
      <c r="D121" s="4">
        <f>'Frutos Secos y Aceites'!$A11*'Frutos Secos y Aceites'!D11/100</f>
        <v>0</v>
      </c>
      <c r="E121" s="4">
        <f>'Frutos Secos y Aceites'!$A11*'Frutos Secos y Aceites'!E11/100</f>
        <v>0</v>
      </c>
      <c r="F121" s="4">
        <f>'Frutos Secos y Aceites'!$A11*'Frutos Secos y Aceites'!F11/100</f>
        <v>0</v>
      </c>
      <c r="G121" s="4">
        <f>'Frutos Secos y Aceites'!$A11*'Frutos Secos y Aceites'!G11/100</f>
        <v>0</v>
      </c>
      <c r="H121" s="4">
        <f>'Frutos Secos y Aceites'!$A11*'Frutos Secos y Aceites'!H11/100</f>
        <v>0</v>
      </c>
      <c r="I121" s="4">
        <f>'Frutos Secos y Aceites'!$A11*'Frutos Secos y Aceites'!I11/100</f>
        <v>0</v>
      </c>
      <c r="J121" s="4">
        <f>'Frutos Secos y Aceites'!$A11*'Frutos Secos y Aceites'!J11/100</f>
        <v>0</v>
      </c>
      <c r="K121" s="4">
        <f>'Frutos Secos y Aceites'!$A11*'Frutos Secos y Aceites'!K11/100</f>
        <v>0</v>
      </c>
      <c r="L121" s="4">
        <f>'Frutos Secos y Aceites'!$A11*'Frutos Secos y Aceites'!L11/100</f>
        <v>0</v>
      </c>
      <c r="M121" s="4">
        <f>'Frutos Secos y Aceites'!$A11*'Frutos Secos y Aceites'!M11/100</f>
        <v>0</v>
      </c>
      <c r="N121" s="4">
        <f>'Frutos Secos y Aceites'!$A11*'Frutos Secos y Aceites'!N11/100</f>
        <v>0</v>
      </c>
      <c r="O121" s="4">
        <f>'Frutos Secos y Aceites'!$A11*'Frutos Secos y Aceites'!O11/100</f>
        <v>0</v>
      </c>
      <c r="P121" s="4">
        <f>'Frutos Secos y Aceites'!$A11*'Frutos Secos y Aceites'!P11/100</f>
        <v>0</v>
      </c>
      <c r="Q121" s="4">
        <f>'Frutos Secos y Aceites'!$A11*'Frutos Secos y Aceites'!Q11/100</f>
        <v>0</v>
      </c>
      <c r="R121" s="11">
        <f>'Frutos Secos y Aceites'!$A11*'Frutos Secos y Aceites'!R11/100</f>
        <v>0</v>
      </c>
      <c r="S121" s="11">
        <f>'Frutos Secos y Aceites'!$A11*'Frutos Secos y Aceites'!S11/100</f>
        <v>0</v>
      </c>
      <c r="T121" s="11">
        <f>'Frutos Secos y Aceites'!$A11*'Frutos Secos y Aceites'!T11/100</f>
        <v>0</v>
      </c>
      <c r="U121" s="11">
        <f>'Frutos Secos y Aceites'!$A11*'Frutos Secos y Aceites'!U11/100</f>
        <v>0</v>
      </c>
    </row>
    <row r="122" spans="1:21" x14ac:dyDescent="0.15">
      <c r="A122" s="10">
        <f>'Frutos Secos y Aceites'!A12</f>
        <v>0</v>
      </c>
      <c r="B122" s="4">
        <f>'Frutos Secos y Aceites'!B12</f>
        <v>0</v>
      </c>
      <c r="C122" s="4">
        <f>'Frutos Secos y Aceites'!$A12*'Frutos Secos y Aceites'!C12/100</f>
        <v>0</v>
      </c>
      <c r="D122" s="4">
        <f>'Frutos Secos y Aceites'!$A12*'Frutos Secos y Aceites'!D12/100</f>
        <v>0</v>
      </c>
      <c r="E122" s="4">
        <f>'Frutos Secos y Aceites'!$A12*'Frutos Secos y Aceites'!E12/100</f>
        <v>0</v>
      </c>
      <c r="F122" s="4">
        <f>'Frutos Secos y Aceites'!$A12*'Frutos Secos y Aceites'!F12/100</f>
        <v>0</v>
      </c>
      <c r="G122" s="4">
        <f>'Frutos Secos y Aceites'!$A12*'Frutos Secos y Aceites'!G12/100</f>
        <v>0</v>
      </c>
      <c r="H122" s="4">
        <f>'Frutos Secos y Aceites'!$A12*'Frutos Secos y Aceites'!H12/100</f>
        <v>0</v>
      </c>
      <c r="I122" s="4">
        <f>'Frutos Secos y Aceites'!$A12*'Frutos Secos y Aceites'!I12/100</f>
        <v>0</v>
      </c>
      <c r="J122" s="4">
        <f>'Frutos Secos y Aceites'!$A12*'Frutos Secos y Aceites'!J12/100</f>
        <v>0</v>
      </c>
      <c r="K122" s="4">
        <f>'Frutos Secos y Aceites'!$A12*'Frutos Secos y Aceites'!K12/100</f>
        <v>0</v>
      </c>
      <c r="L122" s="4">
        <f>'Frutos Secos y Aceites'!$A12*'Frutos Secos y Aceites'!L12/100</f>
        <v>0</v>
      </c>
      <c r="M122" s="4">
        <f>'Frutos Secos y Aceites'!$A12*'Frutos Secos y Aceites'!M12/100</f>
        <v>0</v>
      </c>
      <c r="N122" s="4">
        <f>'Frutos Secos y Aceites'!$A12*'Frutos Secos y Aceites'!N12/100</f>
        <v>0</v>
      </c>
      <c r="O122" s="4">
        <f>'Frutos Secos y Aceites'!$A12*'Frutos Secos y Aceites'!O12/100</f>
        <v>0</v>
      </c>
      <c r="P122" s="4">
        <f>'Frutos Secos y Aceites'!$A12*'Frutos Secos y Aceites'!P12/100</f>
        <v>0</v>
      </c>
      <c r="Q122" s="4">
        <f>'Frutos Secos y Aceites'!$A12*'Frutos Secos y Aceites'!Q12/100</f>
        <v>0</v>
      </c>
      <c r="R122" s="11">
        <f>'Frutos Secos y Aceites'!$A12*'Frutos Secos y Aceites'!R12/100</f>
        <v>0</v>
      </c>
      <c r="S122" s="11">
        <f>'Frutos Secos y Aceites'!$A12*'Frutos Secos y Aceites'!S12/100</f>
        <v>0</v>
      </c>
      <c r="T122" s="11">
        <f>'Frutos Secos y Aceites'!$A12*'Frutos Secos y Aceites'!T12/100</f>
        <v>0</v>
      </c>
      <c r="U122" s="11">
        <f>'Frutos Secos y Aceites'!$A12*'Frutos Secos y Aceites'!U12/100</f>
        <v>0</v>
      </c>
    </row>
    <row r="123" spans="1:21" x14ac:dyDescent="0.15">
      <c r="A123" s="10">
        <f>'Frutos Secos y Aceites'!A13</f>
        <v>0</v>
      </c>
      <c r="B123" s="4">
        <f>'Frutos Secos y Aceites'!B13</f>
        <v>0</v>
      </c>
      <c r="C123" s="4">
        <f>'Frutos Secos y Aceites'!$A13*'Frutos Secos y Aceites'!C13/100</f>
        <v>0</v>
      </c>
      <c r="D123" s="4">
        <f>'Frutos Secos y Aceites'!$A13*'Frutos Secos y Aceites'!D13/100</f>
        <v>0</v>
      </c>
      <c r="E123" s="4">
        <f>'Frutos Secos y Aceites'!$A13*'Frutos Secos y Aceites'!E13/100</f>
        <v>0</v>
      </c>
      <c r="F123" s="4">
        <f>'Frutos Secos y Aceites'!$A13*'Frutos Secos y Aceites'!F13/100</f>
        <v>0</v>
      </c>
      <c r="G123" s="4">
        <f>'Frutos Secos y Aceites'!$A13*'Frutos Secos y Aceites'!G13/100</f>
        <v>0</v>
      </c>
      <c r="H123" s="4">
        <f>'Frutos Secos y Aceites'!$A13*'Frutos Secos y Aceites'!H13/100</f>
        <v>0</v>
      </c>
      <c r="I123" s="4">
        <f>'Frutos Secos y Aceites'!$A13*'Frutos Secos y Aceites'!I13/100</f>
        <v>0</v>
      </c>
      <c r="J123" s="4">
        <f>'Frutos Secos y Aceites'!$A13*'Frutos Secos y Aceites'!J13/100</f>
        <v>0</v>
      </c>
      <c r="K123" s="4">
        <f>'Frutos Secos y Aceites'!$A13*'Frutos Secos y Aceites'!K13/100</f>
        <v>0</v>
      </c>
      <c r="L123" s="4">
        <f>'Frutos Secos y Aceites'!$A13*'Frutos Secos y Aceites'!L13/100</f>
        <v>0</v>
      </c>
      <c r="M123" s="4">
        <f>'Frutos Secos y Aceites'!$A13*'Frutos Secos y Aceites'!M13/100</f>
        <v>0</v>
      </c>
      <c r="N123" s="4">
        <f>'Frutos Secos y Aceites'!$A13*'Frutos Secos y Aceites'!N13/100</f>
        <v>0</v>
      </c>
      <c r="O123" s="4">
        <f>'Frutos Secos y Aceites'!$A13*'Frutos Secos y Aceites'!O13/100</f>
        <v>0</v>
      </c>
      <c r="P123" s="4">
        <f>'Frutos Secos y Aceites'!$A13*'Frutos Secos y Aceites'!P13/100</f>
        <v>0</v>
      </c>
      <c r="Q123" s="4">
        <f>'Frutos Secos y Aceites'!$A13*'Frutos Secos y Aceites'!Q13/100</f>
        <v>0</v>
      </c>
      <c r="R123" s="11">
        <f>'Frutos Secos y Aceites'!$A13*'Frutos Secos y Aceites'!R13/100</f>
        <v>0</v>
      </c>
      <c r="S123" s="11">
        <f>'Frutos Secos y Aceites'!$A13*'Frutos Secos y Aceites'!S13/100</f>
        <v>0</v>
      </c>
      <c r="T123" s="11">
        <f>'Frutos Secos y Aceites'!$A13*'Frutos Secos y Aceites'!T13/100</f>
        <v>0</v>
      </c>
      <c r="U123" s="11">
        <f>'Frutos Secos y Aceites'!$A13*'Frutos Secos y Aceites'!U13/100</f>
        <v>0</v>
      </c>
    </row>
    <row r="124" spans="1:21" x14ac:dyDescent="0.15">
      <c r="A124" s="10">
        <f>'Frutos Secos y Aceites'!A14</f>
        <v>0</v>
      </c>
      <c r="B124" s="4">
        <f>'Frutos Secos y Aceites'!B14</f>
        <v>0</v>
      </c>
      <c r="C124" s="4">
        <f>'Frutos Secos y Aceites'!$A14*'Frutos Secos y Aceites'!C14/100</f>
        <v>0</v>
      </c>
      <c r="D124" s="4">
        <f>'Frutos Secos y Aceites'!$A14*'Frutos Secos y Aceites'!D14/100</f>
        <v>0</v>
      </c>
      <c r="E124" s="4">
        <f>'Frutos Secos y Aceites'!$A14*'Frutos Secos y Aceites'!E14/100</f>
        <v>0</v>
      </c>
      <c r="F124" s="4">
        <f>'Frutos Secos y Aceites'!$A14*'Frutos Secos y Aceites'!F14/100</f>
        <v>0</v>
      </c>
      <c r="G124" s="4">
        <f>'Frutos Secos y Aceites'!$A14*'Frutos Secos y Aceites'!G14/100</f>
        <v>0</v>
      </c>
      <c r="H124" s="4">
        <f>'Frutos Secos y Aceites'!$A14*'Frutos Secos y Aceites'!H14/100</f>
        <v>0</v>
      </c>
      <c r="I124" s="4">
        <f>'Frutos Secos y Aceites'!$A14*'Frutos Secos y Aceites'!I14/100</f>
        <v>0</v>
      </c>
      <c r="J124" s="4">
        <f>'Frutos Secos y Aceites'!$A14*'Frutos Secos y Aceites'!J14/100</f>
        <v>0</v>
      </c>
      <c r="K124" s="4">
        <f>'Frutos Secos y Aceites'!$A14*'Frutos Secos y Aceites'!K14/100</f>
        <v>0</v>
      </c>
      <c r="L124" s="4">
        <f>'Frutos Secos y Aceites'!$A14*'Frutos Secos y Aceites'!L14/100</f>
        <v>0</v>
      </c>
      <c r="M124" s="4">
        <f>'Frutos Secos y Aceites'!$A14*'Frutos Secos y Aceites'!M14/100</f>
        <v>0</v>
      </c>
      <c r="N124" s="4">
        <f>'Frutos Secos y Aceites'!$A14*'Frutos Secos y Aceites'!N14/100</f>
        <v>0</v>
      </c>
      <c r="O124" s="4">
        <f>'Frutos Secos y Aceites'!$A14*'Frutos Secos y Aceites'!O14/100</f>
        <v>0</v>
      </c>
      <c r="P124" s="4">
        <f>'Frutos Secos y Aceites'!$A14*'Frutos Secos y Aceites'!P14/100</f>
        <v>0</v>
      </c>
      <c r="Q124" s="4">
        <f>'Frutos Secos y Aceites'!$A14*'Frutos Secos y Aceites'!Q14/100</f>
        <v>0</v>
      </c>
      <c r="R124" s="11">
        <f>'Frutos Secos y Aceites'!$A14*'Frutos Secos y Aceites'!R14/100</f>
        <v>0</v>
      </c>
      <c r="S124" s="11">
        <f>'Frutos Secos y Aceites'!$A14*'Frutos Secos y Aceites'!S14/100</f>
        <v>0</v>
      </c>
      <c r="T124" s="11">
        <f>'Frutos Secos y Aceites'!$A14*'Frutos Secos y Aceites'!T14/100</f>
        <v>0</v>
      </c>
      <c r="U124" s="11">
        <f>'Frutos Secos y Aceites'!$A14*'Frutos Secos y Aceites'!U14/100</f>
        <v>0</v>
      </c>
    </row>
    <row r="125" spans="1:21" x14ac:dyDescent="0.15">
      <c r="A125" s="10">
        <f>'Frutos Secos y Aceites'!A15</f>
        <v>0</v>
      </c>
      <c r="B125" s="4">
        <f>'Frutos Secos y Aceites'!B15</f>
        <v>0</v>
      </c>
      <c r="C125" s="4">
        <f>'Frutos Secos y Aceites'!$A15*'Frutos Secos y Aceites'!C15/100</f>
        <v>0</v>
      </c>
      <c r="D125" s="4">
        <f>'Frutos Secos y Aceites'!$A15*'Frutos Secos y Aceites'!D15/100</f>
        <v>0</v>
      </c>
      <c r="E125" s="4">
        <f>'Frutos Secos y Aceites'!$A15*'Frutos Secos y Aceites'!E15/100</f>
        <v>0</v>
      </c>
      <c r="F125" s="4">
        <f>'Frutos Secos y Aceites'!$A15*'Frutos Secos y Aceites'!F15/100</f>
        <v>0</v>
      </c>
      <c r="G125" s="4">
        <f>'Frutos Secos y Aceites'!$A15*'Frutos Secos y Aceites'!G15/100</f>
        <v>0</v>
      </c>
      <c r="H125" s="4">
        <f>'Frutos Secos y Aceites'!$A15*'Frutos Secos y Aceites'!H15/100</f>
        <v>0</v>
      </c>
      <c r="I125" s="4">
        <f>'Frutos Secos y Aceites'!$A15*'Frutos Secos y Aceites'!I15/100</f>
        <v>0</v>
      </c>
      <c r="J125" s="4">
        <f>'Frutos Secos y Aceites'!$A15*'Frutos Secos y Aceites'!J15/100</f>
        <v>0</v>
      </c>
      <c r="K125" s="4">
        <f>'Frutos Secos y Aceites'!$A15*'Frutos Secos y Aceites'!K15/100</f>
        <v>0</v>
      </c>
      <c r="L125" s="4">
        <f>'Frutos Secos y Aceites'!$A15*'Frutos Secos y Aceites'!L15/100</f>
        <v>0</v>
      </c>
      <c r="M125" s="4">
        <f>'Frutos Secos y Aceites'!$A15*'Frutos Secos y Aceites'!M15/100</f>
        <v>0</v>
      </c>
      <c r="N125" s="4">
        <f>'Frutos Secos y Aceites'!$A15*'Frutos Secos y Aceites'!N15/100</f>
        <v>0</v>
      </c>
      <c r="O125" s="4">
        <f>'Frutos Secos y Aceites'!$A15*'Frutos Secos y Aceites'!O15/100</f>
        <v>0</v>
      </c>
      <c r="P125" s="4">
        <f>'Frutos Secos y Aceites'!$A15*'Frutos Secos y Aceites'!P15/100</f>
        <v>0</v>
      </c>
      <c r="Q125" s="4">
        <f>'Frutos Secos y Aceites'!$A15*'Frutos Secos y Aceites'!Q15/100</f>
        <v>0</v>
      </c>
      <c r="R125" s="11">
        <f>'Frutos Secos y Aceites'!$A15*'Frutos Secos y Aceites'!R15/100</f>
        <v>0</v>
      </c>
      <c r="S125" s="11">
        <f>'Frutos Secos y Aceites'!$A15*'Frutos Secos y Aceites'!S15/100</f>
        <v>0</v>
      </c>
      <c r="T125" s="11">
        <f>'Frutos Secos y Aceites'!$A15*'Frutos Secos y Aceites'!T15/100</f>
        <v>0</v>
      </c>
      <c r="U125" s="11">
        <f>'Frutos Secos y Aceites'!$A15*'Frutos Secos y Aceites'!U15/100</f>
        <v>0</v>
      </c>
    </row>
    <row r="126" spans="1:21" x14ac:dyDescent="0.15">
      <c r="A126" s="10"/>
      <c r="B126" s="4"/>
      <c r="C126" s="4"/>
      <c r="D126" s="4"/>
      <c r="E126" s="4"/>
      <c r="F126" s="4"/>
      <c r="G126" s="4"/>
      <c r="H126" s="4"/>
      <c r="I126" s="4"/>
      <c r="J126" s="4"/>
      <c r="K126" s="4"/>
      <c r="L126" s="4"/>
      <c r="M126" s="4"/>
      <c r="N126" s="4"/>
      <c r="O126" s="4"/>
      <c r="P126" s="4"/>
      <c r="Q126" s="4"/>
      <c r="R126" s="11"/>
      <c r="S126" s="11"/>
      <c r="T126" s="11"/>
      <c r="U126" s="11"/>
    </row>
    <row r="127" spans="1:21" x14ac:dyDescent="0.15">
      <c r="A127" s="10"/>
      <c r="B127" s="4"/>
      <c r="C127" s="4"/>
      <c r="D127" s="4"/>
      <c r="E127" s="4"/>
      <c r="F127" s="4"/>
      <c r="G127" s="4"/>
      <c r="H127" s="4"/>
      <c r="I127" s="4"/>
      <c r="J127" s="4"/>
      <c r="K127" s="4"/>
      <c r="L127" s="4"/>
      <c r="M127" s="4"/>
      <c r="N127" s="4"/>
      <c r="O127" s="4"/>
      <c r="P127" s="4"/>
      <c r="Q127" s="4"/>
      <c r="R127" s="11"/>
      <c r="S127" s="11"/>
      <c r="T127" s="11"/>
      <c r="U127" s="11"/>
    </row>
    <row r="128" spans="1:21" x14ac:dyDescent="0.15">
      <c r="A128" s="10"/>
      <c r="B128" s="4"/>
      <c r="C128" s="4"/>
      <c r="D128" s="4"/>
      <c r="E128" s="4"/>
      <c r="F128" s="4"/>
      <c r="G128" s="4"/>
      <c r="H128" s="4"/>
      <c r="I128" s="4"/>
      <c r="J128" s="4"/>
      <c r="K128" s="4"/>
      <c r="L128" s="4"/>
      <c r="M128" s="4"/>
      <c r="N128" s="4"/>
      <c r="O128" s="4"/>
      <c r="P128" s="4"/>
      <c r="Q128" s="4"/>
      <c r="R128" s="11"/>
      <c r="S128" s="11"/>
      <c r="T128" s="11"/>
      <c r="U128" s="11"/>
    </row>
    <row r="129" spans="1:21" x14ac:dyDescent="0.15">
      <c r="A129" s="10"/>
      <c r="B129" s="4"/>
      <c r="C129" s="4"/>
      <c r="D129" s="4"/>
      <c r="E129" s="4"/>
      <c r="F129" s="4"/>
      <c r="G129" s="4"/>
      <c r="H129" s="4"/>
      <c r="I129" s="4"/>
      <c r="J129" s="4"/>
      <c r="K129" s="4"/>
      <c r="L129" s="4"/>
      <c r="M129" s="4"/>
      <c r="N129" s="4"/>
      <c r="O129" s="4"/>
      <c r="P129" s="4"/>
      <c r="Q129" s="4"/>
      <c r="R129" s="11"/>
      <c r="S129" s="11"/>
      <c r="T129" s="11"/>
      <c r="U129" s="11"/>
    </row>
    <row r="130" spans="1:21" x14ac:dyDescent="0.15">
      <c r="A130" s="10">
        <f>'Frutos Secos y Aceites'!A20</f>
        <v>0</v>
      </c>
      <c r="B130" s="4" t="str">
        <f>'Frutos Secos y Aceites'!B20</f>
        <v>Manteca</v>
      </c>
      <c r="C130" s="4">
        <f>'Frutos Secos y Aceites'!$A20*'Frutos Secos y Aceites'!C20/100</f>
        <v>0</v>
      </c>
      <c r="D130" s="4">
        <f>'Frutos Secos y Aceites'!$A20*'Frutos Secos y Aceites'!D20/100</f>
        <v>0</v>
      </c>
      <c r="E130" s="4">
        <f>'Frutos Secos y Aceites'!$A20*'Frutos Secos y Aceites'!E20/100</f>
        <v>0</v>
      </c>
      <c r="F130" s="4">
        <f>'Frutos Secos y Aceites'!$A20*'Frutos Secos y Aceites'!F20/100</f>
        <v>0</v>
      </c>
      <c r="G130" s="4">
        <f>'Frutos Secos y Aceites'!$A20*'Frutos Secos y Aceites'!G20/100</f>
        <v>0</v>
      </c>
      <c r="H130" s="4">
        <f>'Frutos Secos y Aceites'!$A20*'Frutos Secos y Aceites'!H20/100</f>
        <v>0</v>
      </c>
      <c r="I130" s="4">
        <f>'Frutos Secos y Aceites'!$A20*'Frutos Secos y Aceites'!I20/100</f>
        <v>0</v>
      </c>
      <c r="J130" s="4">
        <f>'Frutos Secos y Aceites'!$A20*'Frutos Secos y Aceites'!J20/100</f>
        <v>0</v>
      </c>
      <c r="K130" s="4">
        <f>'Frutos Secos y Aceites'!$A20*'Frutos Secos y Aceites'!K20/100</f>
        <v>0</v>
      </c>
      <c r="L130" s="4">
        <f>'Frutos Secos y Aceites'!$A20*'Frutos Secos y Aceites'!L20/100</f>
        <v>0</v>
      </c>
      <c r="M130" s="4">
        <f>'Frutos Secos y Aceites'!$A20*'Frutos Secos y Aceites'!M20/100</f>
        <v>0</v>
      </c>
      <c r="N130" s="4">
        <f>'Frutos Secos y Aceites'!$A20*'Frutos Secos y Aceites'!N20/100</f>
        <v>0</v>
      </c>
      <c r="O130" s="4">
        <f>'Frutos Secos y Aceites'!$A20*'Frutos Secos y Aceites'!O20/100</f>
        <v>0</v>
      </c>
      <c r="P130" s="4">
        <f>'Frutos Secos y Aceites'!$A20*'Frutos Secos y Aceites'!P20/100</f>
        <v>0</v>
      </c>
      <c r="Q130" s="4">
        <f>'Frutos Secos y Aceites'!$A20*'Frutos Secos y Aceites'!Q20/100</f>
        <v>0</v>
      </c>
      <c r="R130" s="11">
        <f>'Frutos Secos y Aceites'!$A20*'Frutos Secos y Aceites'!R20/100</f>
        <v>0</v>
      </c>
      <c r="S130" s="11">
        <f>'Frutos Secos y Aceites'!$A20*'Frutos Secos y Aceites'!S20/100</f>
        <v>0</v>
      </c>
      <c r="T130" s="11">
        <f>'Frutos Secos y Aceites'!$A20*'Frutos Secos y Aceites'!T20/100</f>
        <v>0</v>
      </c>
      <c r="U130" s="11">
        <f>'Frutos Secos y Aceites'!$A20*'Frutos Secos y Aceites'!U20/100</f>
        <v>0</v>
      </c>
    </row>
    <row r="131" spans="1:21" x14ac:dyDescent="0.15">
      <c r="A131" s="10">
        <f>'Frutos Secos y Aceites'!A21</f>
        <v>0</v>
      </c>
      <c r="B131" s="4" t="str">
        <f>'Frutos Secos y Aceites'!B21</f>
        <v xml:space="preserve">Aceite de Oliva </v>
      </c>
      <c r="C131" s="4">
        <f>'Frutos Secos y Aceites'!$A21*'Frutos Secos y Aceites'!C21/100</f>
        <v>0</v>
      </c>
      <c r="D131" s="4">
        <f>'Frutos Secos y Aceites'!$A21*'Frutos Secos y Aceites'!D21/100</f>
        <v>0</v>
      </c>
      <c r="E131" s="4">
        <f>'Frutos Secos y Aceites'!$A21*'Frutos Secos y Aceites'!E21/100</f>
        <v>0</v>
      </c>
      <c r="F131" s="4">
        <f>'Frutos Secos y Aceites'!$A21*'Frutos Secos y Aceites'!F21/100</f>
        <v>0</v>
      </c>
      <c r="G131" s="4">
        <f>'Frutos Secos y Aceites'!$A21*'Frutos Secos y Aceites'!G21/100</f>
        <v>0</v>
      </c>
      <c r="H131" s="4">
        <f>'Frutos Secos y Aceites'!$A21*'Frutos Secos y Aceites'!H21/100</f>
        <v>0</v>
      </c>
      <c r="I131" s="4">
        <f>'Frutos Secos y Aceites'!$A21*'Frutos Secos y Aceites'!I21/100</f>
        <v>0</v>
      </c>
      <c r="J131" s="4">
        <f>'Frutos Secos y Aceites'!$A21*'Frutos Secos y Aceites'!J21/100</f>
        <v>0</v>
      </c>
      <c r="K131" s="4">
        <f>'Frutos Secos y Aceites'!$A21*'Frutos Secos y Aceites'!K21/100</f>
        <v>0</v>
      </c>
      <c r="L131" s="4">
        <f>'Frutos Secos y Aceites'!$A21*'Frutos Secos y Aceites'!L21/100</f>
        <v>0</v>
      </c>
      <c r="M131" s="4">
        <f>'Frutos Secos y Aceites'!$A21*'Frutos Secos y Aceites'!M21/100</f>
        <v>0</v>
      </c>
      <c r="N131" s="4">
        <f>'Frutos Secos y Aceites'!$A21*'Frutos Secos y Aceites'!N21/100</f>
        <v>0</v>
      </c>
      <c r="O131" s="4">
        <f>'Frutos Secos y Aceites'!$A21*'Frutos Secos y Aceites'!O21/100</f>
        <v>0</v>
      </c>
      <c r="P131" s="4">
        <f>'Frutos Secos y Aceites'!$A21*'Frutos Secos y Aceites'!P21/100</f>
        <v>0</v>
      </c>
      <c r="Q131" s="4">
        <f>'Frutos Secos y Aceites'!$A21*'Frutos Secos y Aceites'!Q21/100</f>
        <v>0</v>
      </c>
      <c r="R131" s="11">
        <f>'Frutos Secos y Aceites'!$A21*'Frutos Secos y Aceites'!R21/100</f>
        <v>0</v>
      </c>
      <c r="S131" s="11">
        <f>'Frutos Secos y Aceites'!$A21*'Frutos Secos y Aceites'!S21/100</f>
        <v>0</v>
      </c>
      <c r="T131" s="11">
        <f>'Frutos Secos y Aceites'!$A21*'Frutos Secos y Aceites'!T21/100</f>
        <v>0</v>
      </c>
      <c r="U131" s="11">
        <f>'Frutos Secos y Aceites'!$A21*'Frutos Secos y Aceites'!U21/100</f>
        <v>0</v>
      </c>
    </row>
    <row r="132" spans="1:21" x14ac:dyDescent="0.15">
      <c r="A132" s="10">
        <f>'Frutos Secos y Aceites'!A22</f>
        <v>0</v>
      </c>
      <c r="B132" s="4" t="str">
        <f>'Frutos Secos y Aceites'!B22</f>
        <v xml:space="preserve">Aceite de Girasol </v>
      </c>
      <c r="C132" s="4">
        <f>'Frutos Secos y Aceites'!$A22*'Frutos Secos y Aceites'!C22/100</f>
        <v>0</v>
      </c>
      <c r="D132" s="4">
        <f>'Frutos Secos y Aceites'!$A22*'Frutos Secos y Aceites'!D22/100</f>
        <v>0</v>
      </c>
      <c r="E132" s="4">
        <f>'Frutos Secos y Aceites'!$A22*'Frutos Secos y Aceites'!E22/100</f>
        <v>0</v>
      </c>
      <c r="F132" s="4">
        <f>'Frutos Secos y Aceites'!$A22*'Frutos Secos y Aceites'!F22/100</f>
        <v>0</v>
      </c>
      <c r="G132" s="4">
        <f>'Frutos Secos y Aceites'!$A22*'Frutos Secos y Aceites'!G22/100</f>
        <v>0</v>
      </c>
      <c r="H132" s="4">
        <f>'Frutos Secos y Aceites'!$A22*'Frutos Secos y Aceites'!H22/100</f>
        <v>0</v>
      </c>
      <c r="I132" s="4">
        <f>'Frutos Secos y Aceites'!$A22*'Frutos Secos y Aceites'!I22/100</f>
        <v>0</v>
      </c>
      <c r="J132" s="4">
        <f>'Frutos Secos y Aceites'!$A22*'Frutos Secos y Aceites'!J22/100</f>
        <v>0</v>
      </c>
      <c r="K132" s="4">
        <f>'Frutos Secos y Aceites'!$A22*'Frutos Secos y Aceites'!K22/100</f>
        <v>0</v>
      </c>
      <c r="L132" s="4">
        <f>'Frutos Secos y Aceites'!$A22*'Frutos Secos y Aceites'!L22/100</f>
        <v>0</v>
      </c>
      <c r="M132" s="4">
        <f>'Frutos Secos y Aceites'!$A22*'Frutos Secos y Aceites'!M22/100</f>
        <v>0</v>
      </c>
      <c r="N132" s="4">
        <f>'Frutos Secos y Aceites'!$A22*'Frutos Secos y Aceites'!N22/100</f>
        <v>0</v>
      </c>
      <c r="O132" s="4">
        <f>'Frutos Secos y Aceites'!$A22*'Frutos Secos y Aceites'!O22/100</f>
        <v>0</v>
      </c>
      <c r="P132" s="4">
        <f>'Frutos Secos y Aceites'!$A22*'Frutos Secos y Aceites'!P22/100</f>
        <v>0</v>
      </c>
      <c r="Q132" s="4">
        <f>'Frutos Secos y Aceites'!$A22*'Frutos Secos y Aceites'!Q22/100</f>
        <v>0</v>
      </c>
      <c r="R132" s="11">
        <f>'Frutos Secos y Aceites'!$A22*'Frutos Secos y Aceites'!R22/100</f>
        <v>0</v>
      </c>
      <c r="S132" s="11">
        <f>'Frutos Secos y Aceites'!$A22*'Frutos Secos y Aceites'!S22/100</f>
        <v>0</v>
      </c>
      <c r="T132" s="11">
        <f>'Frutos Secos y Aceites'!$A22*'Frutos Secos y Aceites'!T22/100</f>
        <v>0</v>
      </c>
      <c r="U132" s="11">
        <f>'Frutos Secos y Aceites'!$A22*'Frutos Secos y Aceites'!U22/100</f>
        <v>0</v>
      </c>
    </row>
    <row r="133" spans="1:21" x14ac:dyDescent="0.15">
      <c r="A133" s="10">
        <f>'Frutos Secos y Aceites'!A23</f>
        <v>0</v>
      </c>
      <c r="B133" s="4" t="str">
        <f>'Frutos Secos y Aceites'!B23</f>
        <v>Margarina vegetal</v>
      </c>
      <c r="C133" s="4">
        <f>'Frutos Secos y Aceites'!$A23*'Frutos Secos y Aceites'!C23/100</f>
        <v>0</v>
      </c>
      <c r="D133" s="4">
        <f>'Frutos Secos y Aceites'!$A23*'Frutos Secos y Aceites'!D23/100</f>
        <v>0</v>
      </c>
      <c r="E133" s="4">
        <f>'Frutos Secos y Aceites'!$A23*'Frutos Secos y Aceites'!E23/100</f>
        <v>0</v>
      </c>
      <c r="F133" s="4">
        <f>'Frutos Secos y Aceites'!$A23*'Frutos Secos y Aceites'!F23/100</f>
        <v>0</v>
      </c>
      <c r="G133" s="4">
        <f>'Frutos Secos y Aceites'!$A23*'Frutos Secos y Aceites'!G23/100</f>
        <v>0</v>
      </c>
      <c r="H133" s="4">
        <f>'Frutos Secos y Aceites'!$A23*'Frutos Secos y Aceites'!H23/100</f>
        <v>0</v>
      </c>
      <c r="I133" s="4">
        <f>'Frutos Secos y Aceites'!$A23*'Frutos Secos y Aceites'!I23/100</f>
        <v>0</v>
      </c>
      <c r="J133" s="4">
        <f>'Frutos Secos y Aceites'!$A23*'Frutos Secos y Aceites'!J23/100</f>
        <v>0</v>
      </c>
      <c r="K133" s="4">
        <f>'Frutos Secos y Aceites'!$A23*'Frutos Secos y Aceites'!K23/100</f>
        <v>0</v>
      </c>
      <c r="L133" s="4">
        <f>'Frutos Secos y Aceites'!$A23*'Frutos Secos y Aceites'!L23/100</f>
        <v>0</v>
      </c>
      <c r="M133" s="4">
        <f>'Frutos Secos y Aceites'!$A23*'Frutos Secos y Aceites'!M23/100</f>
        <v>0</v>
      </c>
      <c r="N133" s="4">
        <f>'Frutos Secos y Aceites'!$A23*'Frutos Secos y Aceites'!N23/100</f>
        <v>0</v>
      </c>
      <c r="O133" s="4">
        <f>'Frutos Secos y Aceites'!$A23*'Frutos Secos y Aceites'!O23/100</f>
        <v>0</v>
      </c>
      <c r="P133" s="4">
        <f>'Frutos Secos y Aceites'!$A23*'Frutos Secos y Aceites'!P23/100</f>
        <v>0</v>
      </c>
      <c r="Q133" s="4">
        <f>'Frutos Secos y Aceites'!$A23*'Frutos Secos y Aceites'!Q23/100</f>
        <v>0</v>
      </c>
      <c r="R133" s="11">
        <f>'Frutos Secos y Aceites'!$A23*'Frutos Secos y Aceites'!R23/100</f>
        <v>0</v>
      </c>
      <c r="S133" s="11">
        <f>'Frutos Secos y Aceites'!$A23*'Frutos Secos y Aceites'!S23/100</f>
        <v>0</v>
      </c>
      <c r="T133" s="11">
        <f>'Frutos Secos y Aceites'!$A23*'Frutos Secos y Aceites'!T23/100</f>
        <v>0</v>
      </c>
      <c r="U133" s="11">
        <f>'Frutos Secos y Aceites'!$A23*'Frutos Secos y Aceites'!U23/100</f>
        <v>0</v>
      </c>
    </row>
    <row r="134" spans="1:21" x14ac:dyDescent="0.15">
      <c r="A134" s="10">
        <f>'Frutos Secos y Aceites'!A24</f>
        <v>0</v>
      </c>
      <c r="B134" s="4" t="str">
        <f>'Frutos Secos y Aceites'!B24</f>
        <v>Nata</v>
      </c>
      <c r="C134" s="4">
        <f>'Frutos Secos y Aceites'!$A24*'Frutos Secos y Aceites'!C24/100</f>
        <v>0</v>
      </c>
      <c r="D134" s="4">
        <f>'Frutos Secos y Aceites'!$A24*'Frutos Secos y Aceites'!D24/100</f>
        <v>0</v>
      </c>
      <c r="E134" s="4">
        <f>'Frutos Secos y Aceites'!$A24*'Frutos Secos y Aceites'!E24/100</f>
        <v>0</v>
      </c>
      <c r="F134" s="4">
        <f>'Frutos Secos y Aceites'!$A24*'Frutos Secos y Aceites'!F24/100</f>
        <v>0</v>
      </c>
      <c r="G134" s="4">
        <f>'Frutos Secos y Aceites'!$A24*'Frutos Secos y Aceites'!G24/100</f>
        <v>0</v>
      </c>
      <c r="H134" s="4">
        <f>'Frutos Secos y Aceites'!$A24*'Frutos Secos y Aceites'!H24/100</f>
        <v>0</v>
      </c>
      <c r="I134" s="4">
        <f>'Frutos Secos y Aceites'!$A24*'Frutos Secos y Aceites'!I24/100</f>
        <v>0</v>
      </c>
      <c r="J134" s="4">
        <f>'Frutos Secos y Aceites'!$A24*'Frutos Secos y Aceites'!J24/100</f>
        <v>0</v>
      </c>
      <c r="K134" s="4">
        <f>'Frutos Secos y Aceites'!$A24*'Frutos Secos y Aceites'!K24/100</f>
        <v>0</v>
      </c>
      <c r="L134" s="4">
        <f>'Frutos Secos y Aceites'!$A24*'Frutos Secos y Aceites'!L24/100</f>
        <v>0</v>
      </c>
      <c r="M134" s="4">
        <f>'Frutos Secos y Aceites'!$A24*'Frutos Secos y Aceites'!M24/100</f>
        <v>0</v>
      </c>
      <c r="N134" s="4">
        <f>'Frutos Secos y Aceites'!$A24*'Frutos Secos y Aceites'!N24/100</f>
        <v>0</v>
      </c>
      <c r="O134" s="4">
        <f>'Frutos Secos y Aceites'!$A24*'Frutos Secos y Aceites'!O24/100</f>
        <v>0</v>
      </c>
      <c r="P134" s="4">
        <f>'Frutos Secos y Aceites'!$A24*'Frutos Secos y Aceites'!P24/100</f>
        <v>0</v>
      </c>
      <c r="Q134" s="4">
        <f>'Frutos Secos y Aceites'!$A24*'Frutos Secos y Aceites'!Q24/100</f>
        <v>0</v>
      </c>
      <c r="R134" s="11">
        <f>'Frutos Secos y Aceites'!$A24*'Frutos Secos y Aceites'!R24/100</f>
        <v>0</v>
      </c>
      <c r="S134" s="11">
        <f>'Frutos Secos y Aceites'!$A24*'Frutos Secos y Aceites'!S24/100</f>
        <v>0</v>
      </c>
      <c r="T134" s="11">
        <f>'Frutos Secos y Aceites'!$A24*'Frutos Secos y Aceites'!T24/100</f>
        <v>0</v>
      </c>
      <c r="U134" s="11">
        <f>'Frutos Secos y Aceites'!$A24*'Frutos Secos y Aceites'!U24/100</f>
        <v>0</v>
      </c>
    </row>
    <row r="135" spans="1:21" x14ac:dyDescent="0.15">
      <c r="A135" s="10">
        <f>'Frutos Secos y Aceites'!A25</f>
        <v>0</v>
      </c>
      <c r="B135" s="4" t="str">
        <f>'Frutos Secos y Aceites'!B25</f>
        <v>Mantequilla</v>
      </c>
      <c r="C135" s="4">
        <f>'Frutos Secos y Aceites'!$A25*'Frutos Secos y Aceites'!C25/100</f>
        <v>0</v>
      </c>
      <c r="D135" s="4">
        <f>'Frutos Secos y Aceites'!$A25*'Frutos Secos y Aceites'!D25/100</f>
        <v>0</v>
      </c>
      <c r="E135" s="4">
        <f>'Frutos Secos y Aceites'!$A25*'Frutos Secos y Aceites'!E25/100</f>
        <v>0</v>
      </c>
      <c r="F135" s="4">
        <f>'Frutos Secos y Aceites'!$A25*'Frutos Secos y Aceites'!F25/100</f>
        <v>0</v>
      </c>
      <c r="G135" s="4">
        <f>'Frutos Secos y Aceites'!$A25*'Frutos Secos y Aceites'!G25/100</f>
        <v>0</v>
      </c>
      <c r="H135" s="4">
        <f>'Frutos Secos y Aceites'!$A25*'Frutos Secos y Aceites'!H25/100</f>
        <v>0</v>
      </c>
      <c r="I135" s="4">
        <f>'Frutos Secos y Aceites'!$A25*'Frutos Secos y Aceites'!I25/100</f>
        <v>0</v>
      </c>
      <c r="J135" s="4">
        <f>'Frutos Secos y Aceites'!$A25*'Frutos Secos y Aceites'!J25/100</f>
        <v>0</v>
      </c>
      <c r="K135" s="4">
        <f>'Frutos Secos y Aceites'!$A25*'Frutos Secos y Aceites'!K25/100</f>
        <v>0</v>
      </c>
      <c r="L135" s="4">
        <f>'Frutos Secos y Aceites'!$A25*'Frutos Secos y Aceites'!L25/100</f>
        <v>0</v>
      </c>
      <c r="M135" s="4">
        <f>'Frutos Secos y Aceites'!$A25*'Frutos Secos y Aceites'!M25/100</f>
        <v>0</v>
      </c>
      <c r="N135" s="4">
        <f>'Frutos Secos y Aceites'!$A25*'Frutos Secos y Aceites'!N25/100</f>
        <v>0</v>
      </c>
      <c r="O135" s="4">
        <f>'Frutos Secos y Aceites'!$A25*'Frutos Secos y Aceites'!O25/100</f>
        <v>0</v>
      </c>
      <c r="P135" s="4">
        <f>'Frutos Secos y Aceites'!$A25*'Frutos Secos y Aceites'!P25/100</f>
        <v>0</v>
      </c>
      <c r="Q135" s="4">
        <f>'Frutos Secos y Aceites'!$A25*'Frutos Secos y Aceites'!Q25/100</f>
        <v>0</v>
      </c>
      <c r="R135" s="11">
        <f>'Frutos Secos y Aceites'!$A25*'Frutos Secos y Aceites'!R25/100</f>
        <v>0</v>
      </c>
      <c r="S135" s="11">
        <f>'Frutos Secos y Aceites'!$A25*'Frutos Secos y Aceites'!S25/100</f>
        <v>0</v>
      </c>
      <c r="T135" s="11">
        <f>'Frutos Secos y Aceites'!$A25*'Frutos Secos y Aceites'!T25/100</f>
        <v>0</v>
      </c>
      <c r="U135" s="11">
        <f>'Frutos Secos y Aceites'!$A25*'Frutos Secos y Aceites'!U25/100</f>
        <v>0</v>
      </c>
    </row>
    <row r="136" spans="1:21" x14ac:dyDescent="0.15">
      <c r="A136" s="10">
        <f>'Frutos Secos y Aceites'!A26</f>
        <v>0</v>
      </c>
      <c r="B136" s="4" t="str">
        <f>'Frutos Secos y Aceites'!B26</f>
        <v>Aceituna verde en salmuera</v>
      </c>
      <c r="C136" s="4">
        <f>'Frutos Secos y Aceites'!$A26*'Frutos Secos y Aceites'!C26/100</f>
        <v>0</v>
      </c>
      <c r="D136" s="4">
        <f>'Frutos Secos y Aceites'!$A26*'Frutos Secos y Aceites'!D26/100</f>
        <v>0</v>
      </c>
      <c r="E136" s="4">
        <f>'Frutos Secos y Aceites'!$A26*'Frutos Secos y Aceites'!E26/100</f>
        <v>0</v>
      </c>
      <c r="F136" s="4">
        <f>'Frutos Secos y Aceites'!$A26*'Frutos Secos y Aceites'!F26/100</f>
        <v>0</v>
      </c>
      <c r="G136" s="4">
        <f>'Frutos Secos y Aceites'!$A26*'Frutos Secos y Aceites'!G26/100</f>
        <v>0</v>
      </c>
      <c r="H136" s="4">
        <f>'Frutos Secos y Aceites'!$A26*'Frutos Secos y Aceites'!H26/100</f>
        <v>0</v>
      </c>
      <c r="I136" s="4">
        <f>'Frutos Secos y Aceites'!$A26*'Frutos Secos y Aceites'!I26/100</f>
        <v>0</v>
      </c>
      <c r="J136" s="4">
        <f>'Frutos Secos y Aceites'!$A26*'Frutos Secos y Aceites'!J26/100</f>
        <v>0</v>
      </c>
      <c r="K136" s="4">
        <f>'Frutos Secos y Aceites'!$A26*'Frutos Secos y Aceites'!K26/100</f>
        <v>0</v>
      </c>
      <c r="L136" s="4">
        <f>'Frutos Secos y Aceites'!$A26*'Frutos Secos y Aceites'!L26/100</f>
        <v>0</v>
      </c>
      <c r="M136" s="4">
        <f>'Frutos Secos y Aceites'!$A26*'Frutos Secos y Aceites'!M26/100</f>
        <v>0</v>
      </c>
      <c r="N136" s="4">
        <f>'Frutos Secos y Aceites'!$A26*'Frutos Secos y Aceites'!N26/100</f>
        <v>0</v>
      </c>
      <c r="O136" s="4">
        <f>'Frutos Secos y Aceites'!$A26*'Frutos Secos y Aceites'!O26/100</f>
        <v>0</v>
      </c>
      <c r="P136" s="4">
        <f>'Frutos Secos y Aceites'!$A26*'Frutos Secos y Aceites'!P26/100</f>
        <v>0</v>
      </c>
      <c r="Q136" s="4">
        <f>'Frutos Secos y Aceites'!$A26*'Frutos Secos y Aceites'!Q26/100</f>
        <v>0</v>
      </c>
      <c r="R136" s="11">
        <f>'Frutos Secos y Aceites'!$A26*'Frutos Secos y Aceites'!R26/100</f>
        <v>0</v>
      </c>
      <c r="S136" s="11">
        <f>'Frutos Secos y Aceites'!$A26*'Frutos Secos y Aceites'!S26/100</f>
        <v>0</v>
      </c>
      <c r="T136" s="11">
        <f>'Frutos Secos y Aceites'!$A26*'Frutos Secos y Aceites'!T26/100</f>
        <v>0</v>
      </c>
      <c r="U136" s="11">
        <f>'Frutos Secos y Aceites'!$A26*'Frutos Secos y Aceites'!U26/100</f>
        <v>0</v>
      </c>
    </row>
    <row r="137" spans="1:21" x14ac:dyDescent="0.15">
      <c r="A137" s="10">
        <f>'Frutos Secos y Aceites'!A27</f>
        <v>0</v>
      </c>
      <c r="B137" s="4" t="str">
        <f>'Frutos Secos y Aceites'!B27</f>
        <v>Mayonesa Light</v>
      </c>
      <c r="C137" s="4">
        <f>'Frutos Secos y Aceites'!$A27*'Frutos Secos y Aceites'!C27/100</f>
        <v>0</v>
      </c>
      <c r="D137" s="4">
        <f>'Frutos Secos y Aceites'!$A27*'Frutos Secos y Aceites'!D27/100</f>
        <v>0</v>
      </c>
      <c r="E137" s="4">
        <f>'Frutos Secos y Aceites'!$A27*'Frutos Secos y Aceites'!E27/100</f>
        <v>0</v>
      </c>
      <c r="F137" s="4">
        <f>'Frutos Secos y Aceites'!$A27*'Frutos Secos y Aceites'!F27/100</f>
        <v>0</v>
      </c>
      <c r="G137" s="4">
        <f>'Frutos Secos y Aceites'!$A27*'Frutos Secos y Aceites'!G27/100</f>
        <v>0</v>
      </c>
      <c r="H137" s="4">
        <f>'Frutos Secos y Aceites'!$A27*'Frutos Secos y Aceites'!H27/100</f>
        <v>0</v>
      </c>
      <c r="I137" s="4">
        <f>'Frutos Secos y Aceites'!$A27*'Frutos Secos y Aceites'!I27/100</f>
        <v>0</v>
      </c>
      <c r="J137" s="4">
        <f>'Frutos Secos y Aceites'!$A27*'Frutos Secos y Aceites'!J27/100</f>
        <v>0</v>
      </c>
      <c r="K137" s="4">
        <f>'Frutos Secos y Aceites'!$A27*'Frutos Secos y Aceites'!K27/100</f>
        <v>0</v>
      </c>
      <c r="L137" s="4">
        <f>'Frutos Secos y Aceites'!$A27*'Frutos Secos y Aceites'!L27/100</f>
        <v>0</v>
      </c>
      <c r="M137" s="4">
        <f>'Frutos Secos y Aceites'!$A27*'Frutos Secos y Aceites'!M27/100</f>
        <v>0</v>
      </c>
      <c r="N137" s="4">
        <f>'Frutos Secos y Aceites'!$A27*'Frutos Secos y Aceites'!N27/100</f>
        <v>0</v>
      </c>
      <c r="O137" s="4">
        <f>'Frutos Secos y Aceites'!$A27*'Frutos Secos y Aceites'!O27/100</f>
        <v>0</v>
      </c>
      <c r="P137" s="4">
        <f>'Frutos Secos y Aceites'!$A27*'Frutos Secos y Aceites'!P27/100</f>
        <v>0</v>
      </c>
      <c r="Q137" s="4">
        <f>'Frutos Secos y Aceites'!$A27*'Frutos Secos y Aceites'!Q27/100</f>
        <v>0</v>
      </c>
      <c r="R137" s="11">
        <f>'Frutos Secos y Aceites'!$A27*'Frutos Secos y Aceites'!R27/100</f>
        <v>0</v>
      </c>
      <c r="S137" s="11">
        <f>'Frutos Secos y Aceites'!$A27*'Frutos Secos y Aceites'!S27/100</f>
        <v>0</v>
      </c>
      <c r="T137" s="11">
        <f>'Frutos Secos y Aceites'!$A27*'Frutos Secos y Aceites'!T27/100</f>
        <v>0</v>
      </c>
      <c r="U137" s="11">
        <f>'Frutos Secos y Aceites'!$A27*'Frutos Secos y Aceites'!U27/100</f>
        <v>0</v>
      </c>
    </row>
    <row r="138" spans="1:21" x14ac:dyDescent="0.15">
      <c r="A138" s="10">
        <f>'Azucares y Bebidas'!A4</f>
        <v>0</v>
      </c>
      <c r="B138" s="4" t="str">
        <f>'Azucares y Bebidas'!B4</f>
        <v>Azúcar, caramelos</v>
      </c>
      <c r="C138" s="4">
        <f>'Azucares y Bebidas'!$A4*'Azucares y Bebidas'!C4/100</f>
        <v>0</v>
      </c>
      <c r="D138" s="4">
        <f>'Azucares y Bebidas'!$A4*'Azucares y Bebidas'!D4/100</f>
        <v>0</v>
      </c>
      <c r="E138" s="4">
        <f>'Azucares y Bebidas'!$A4*'Azucares y Bebidas'!E4/100</f>
        <v>0</v>
      </c>
      <c r="F138" s="4">
        <f>'Azucares y Bebidas'!$A4*'Azucares y Bebidas'!F4/100</f>
        <v>0</v>
      </c>
      <c r="G138" s="4">
        <f>'Azucares y Bebidas'!$A4*'Azucares y Bebidas'!G4/100</f>
        <v>0</v>
      </c>
      <c r="H138" s="4">
        <f>'Azucares y Bebidas'!$A4*'Azucares y Bebidas'!H4/100</f>
        <v>0</v>
      </c>
      <c r="I138" s="4">
        <f>'Azucares y Bebidas'!$A4*'Azucares y Bebidas'!I4/100</f>
        <v>0</v>
      </c>
      <c r="J138" s="4">
        <f>'Azucares y Bebidas'!$A4*'Azucares y Bebidas'!J4/100</f>
        <v>0</v>
      </c>
      <c r="K138" s="4">
        <f>'Azucares y Bebidas'!$A4*'Azucares y Bebidas'!K4/100</f>
        <v>0</v>
      </c>
      <c r="L138" s="4">
        <f>'Azucares y Bebidas'!$A4*'Azucares y Bebidas'!L4/100</f>
        <v>0</v>
      </c>
      <c r="M138" s="4">
        <f>'Azucares y Bebidas'!$A4*'Azucares y Bebidas'!M4/100</f>
        <v>0</v>
      </c>
      <c r="N138" s="4">
        <f>'Azucares y Bebidas'!$A4*'Azucares y Bebidas'!N4/100</f>
        <v>0</v>
      </c>
      <c r="O138" s="4">
        <f>'Azucares y Bebidas'!$A4*'Azucares y Bebidas'!O4/100</f>
        <v>0</v>
      </c>
      <c r="P138" s="4">
        <f>'Azucares y Bebidas'!$A4*'Azucares y Bebidas'!P4/100</f>
        <v>0</v>
      </c>
      <c r="Q138" s="4">
        <f>'Azucares y Bebidas'!$A4*'Azucares y Bebidas'!Q4/100</f>
        <v>0</v>
      </c>
      <c r="R138" s="11">
        <f>'Azucares y Bebidas'!$A4*'Azucares y Bebidas'!R4/100</f>
        <v>0</v>
      </c>
      <c r="S138" s="11">
        <f>'Azucares y Bebidas'!$A4*'Azucares y Bebidas'!S4/100</f>
        <v>0</v>
      </c>
      <c r="T138" s="11">
        <f>'Azucares y Bebidas'!$A4*'Azucares y Bebidas'!T4/100</f>
        <v>0</v>
      </c>
      <c r="U138" s="11">
        <f>'Azucares y Bebidas'!$A4*'Azucares y Bebidas'!U4/100</f>
        <v>0</v>
      </c>
    </row>
    <row r="139" spans="1:21" x14ac:dyDescent="0.15">
      <c r="A139" s="10">
        <f>'Azucares y Bebidas'!A5</f>
        <v>0</v>
      </c>
      <c r="B139" s="4" t="str">
        <f>'Azucares y Bebidas'!B5</f>
        <v>Mermelada</v>
      </c>
      <c r="C139" s="4">
        <f>'Azucares y Bebidas'!$A5*'Azucares y Bebidas'!C5/100</f>
        <v>0</v>
      </c>
      <c r="D139" s="4">
        <f>'Azucares y Bebidas'!$A5*'Azucares y Bebidas'!D5/100</f>
        <v>0</v>
      </c>
      <c r="E139" s="4">
        <f>'Azucares y Bebidas'!$A5*'Azucares y Bebidas'!E5/100</f>
        <v>0</v>
      </c>
      <c r="F139" s="4">
        <f>'Azucares y Bebidas'!$A5*'Azucares y Bebidas'!F5/100</f>
        <v>0</v>
      </c>
      <c r="G139" s="4">
        <f>'Azucares y Bebidas'!$A5*'Azucares y Bebidas'!G5/100</f>
        <v>0</v>
      </c>
      <c r="H139" s="4">
        <f>'Azucares y Bebidas'!$A5*'Azucares y Bebidas'!H5/100</f>
        <v>0</v>
      </c>
      <c r="I139" s="4">
        <f>'Azucares y Bebidas'!$A5*'Azucares y Bebidas'!I5/100</f>
        <v>0</v>
      </c>
      <c r="J139" s="4">
        <f>'Azucares y Bebidas'!$A5*'Azucares y Bebidas'!J5/100</f>
        <v>0</v>
      </c>
      <c r="K139" s="4">
        <f>'Azucares y Bebidas'!$A5*'Azucares y Bebidas'!K5/100</f>
        <v>0</v>
      </c>
      <c r="L139" s="4">
        <f>'Azucares y Bebidas'!$A5*'Azucares y Bebidas'!L5/100</f>
        <v>0</v>
      </c>
      <c r="M139" s="4">
        <f>'Azucares y Bebidas'!$A5*'Azucares y Bebidas'!M5/100</f>
        <v>0</v>
      </c>
      <c r="N139" s="4">
        <f>'Azucares y Bebidas'!$A5*'Azucares y Bebidas'!N5/100</f>
        <v>0</v>
      </c>
      <c r="O139" s="4">
        <f>'Azucares y Bebidas'!$A5*'Azucares y Bebidas'!O5/100</f>
        <v>0</v>
      </c>
      <c r="P139" s="4">
        <f>'Azucares y Bebidas'!$A5*'Azucares y Bebidas'!P5/100</f>
        <v>0</v>
      </c>
      <c r="Q139" s="4">
        <f>'Azucares y Bebidas'!$A5*'Azucares y Bebidas'!Q5/100</f>
        <v>0</v>
      </c>
      <c r="R139" s="11">
        <f>'Azucares y Bebidas'!$A5*'Azucares y Bebidas'!R5/100</f>
        <v>0</v>
      </c>
      <c r="S139" s="11">
        <f>'Azucares y Bebidas'!$A5*'Azucares y Bebidas'!S5/100</f>
        <v>0</v>
      </c>
      <c r="T139" s="11">
        <f>'Azucares y Bebidas'!$A5*'Azucares y Bebidas'!T5/100</f>
        <v>0</v>
      </c>
      <c r="U139" s="11">
        <f>'Azucares y Bebidas'!$A5*'Azucares y Bebidas'!U5/100</f>
        <v>0</v>
      </c>
    </row>
    <row r="140" spans="1:21" x14ac:dyDescent="0.15">
      <c r="A140" s="10">
        <f>'Azucares y Bebidas'!A6</f>
        <v>0</v>
      </c>
      <c r="B140" s="4" t="str">
        <f>'Azucares y Bebidas'!B6</f>
        <v>Miel</v>
      </c>
      <c r="C140" s="4">
        <f>'Azucares y Bebidas'!$A6*'Azucares y Bebidas'!C6/100</f>
        <v>0</v>
      </c>
      <c r="D140" s="4">
        <f>'Azucares y Bebidas'!$A6*'Azucares y Bebidas'!D6/100</f>
        <v>0</v>
      </c>
      <c r="E140" s="4">
        <f>'Azucares y Bebidas'!$A6*'Azucares y Bebidas'!E6/100</f>
        <v>0</v>
      </c>
      <c r="F140" s="4">
        <f>'Azucares y Bebidas'!$A6*'Azucares y Bebidas'!F6/100</f>
        <v>0</v>
      </c>
      <c r="G140" s="4">
        <f>'Azucares y Bebidas'!$A6*'Azucares y Bebidas'!G6/100</f>
        <v>0</v>
      </c>
      <c r="H140" s="4">
        <f>'Azucares y Bebidas'!$A6*'Azucares y Bebidas'!H6/100</f>
        <v>0</v>
      </c>
      <c r="I140" s="4">
        <f>'Azucares y Bebidas'!$A6*'Azucares y Bebidas'!I6/100</f>
        <v>0</v>
      </c>
      <c r="J140" s="4">
        <f>'Azucares y Bebidas'!$A6*'Azucares y Bebidas'!J6/100</f>
        <v>0</v>
      </c>
      <c r="K140" s="4">
        <f>'Azucares y Bebidas'!$A6*'Azucares y Bebidas'!K6/100</f>
        <v>0</v>
      </c>
      <c r="L140" s="4">
        <f>'Azucares y Bebidas'!$A6*'Azucares y Bebidas'!L6/100</f>
        <v>0</v>
      </c>
      <c r="M140" s="4">
        <f>'Azucares y Bebidas'!$A6*'Azucares y Bebidas'!M6/100</f>
        <v>0</v>
      </c>
      <c r="N140" s="4">
        <f>'Azucares y Bebidas'!$A6*'Azucares y Bebidas'!N6/100</f>
        <v>0</v>
      </c>
      <c r="O140" s="4">
        <f>'Azucares y Bebidas'!$A6*'Azucares y Bebidas'!O6/100</f>
        <v>0</v>
      </c>
      <c r="P140" s="4">
        <f>'Azucares y Bebidas'!$A6*'Azucares y Bebidas'!P6/100</f>
        <v>0</v>
      </c>
      <c r="Q140" s="4">
        <f>'Azucares y Bebidas'!$A6*'Azucares y Bebidas'!Q6/100</f>
        <v>0</v>
      </c>
      <c r="R140" s="11">
        <f>'Azucares y Bebidas'!$A6*'Azucares y Bebidas'!R6/100</f>
        <v>0</v>
      </c>
      <c r="S140" s="11">
        <f>'Azucares y Bebidas'!$A6*'Azucares y Bebidas'!S6/100</f>
        <v>0</v>
      </c>
      <c r="T140" s="11">
        <f>'Azucares y Bebidas'!$A6*'Azucares y Bebidas'!T6/100</f>
        <v>0</v>
      </c>
      <c r="U140" s="11">
        <f>'Azucares y Bebidas'!$A6*'Azucares y Bebidas'!U6/100</f>
        <v>0</v>
      </c>
    </row>
    <row r="141" spans="1:21" x14ac:dyDescent="0.15">
      <c r="A141" s="10">
        <f>'Azucares y Bebidas'!A7</f>
        <v>15</v>
      </c>
      <c r="B141" s="4" t="str">
        <f>'Azucares y Bebidas'!B7</f>
        <v>Cacao en polvo</v>
      </c>
      <c r="C141" s="4">
        <f>'Azucares y Bebidas'!$A7*'Azucares y Bebidas'!C7/100</f>
        <v>0.45</v>
      </c>
      <c r="D141" s="4">
        <f>'Azucares y Bebidas'!$A7*'Azucares y Bebidas'!D7/100</f>
        <v>57.45</v>
      </c>
      <c r="E141" s="4">
        <f>'Azucares y Bebidas'!$A7*'Azucares y Bebidas'!E7/100</f>
        <v>0.9</v>
      </c>
      <c r="F141" s="4">
        <f>'Azucares y Bebidas'!$A7*'Azucares y Bebidas'!F7/100</f>
        <v>0.9</v>
      </c>
      <c r="G141" s="4">
        <f>'Azucares y Bebidas'!$A7*'Azucares y Bebidas'!G7/100</f>
        <v>11.43</v>
      </c>
      <c r="H141" s="4">
        <f>'Azucares y Bebidas'!$A7*'Azucares y Bebidas'!H7/100</f>
        <v>30</v>
      </c>
      <c r="I141" s="4">
        <f>'Azucares y Bebidas'!$A7*'Azucares y Bebidas'!I7/100</f>
        <v>82.5</v>
      </c>
      <c r="J141" s="4">
        <f>'Azucares y Bebidas'!$A7*'Azucares y Bebidas'!J7/100</f>
        <v>31.5</v>
      </c>
      <c r="K141" s="4">
        <f>'Azucares y Bebidas'!$A7*'Azucares y Bebidas'!K7/100</f>
        <v>6</v>
      </c>
      <c r="L141" s="4">
        <f>'Azucares y Bebidas'!$A7*'Azucares y Bebidas'!L7/100</f>
        <v>0.55500000000000005</v>
      </c>
      <c r="M141" s="4">
        <f>'Azucares y Bebidas'!$A7*'Azucares y Bebidas'!M7/100</f>
        <v>0</v>
      </c>
      <c r="N141" s="4">
        <f>'Azucares y Bebidas'!$A7*'Azucares y Bebidas'!N7/100</f>
        <v>6.0000000000000001E-3</v>
      </c>
      <c r="O141" s="4">
        <f>'Azucares y Bebidas'!$A7*'Azucares y Bebidas'!O7/100</f>
        <v>6.0000000000000001E-3</v>
      </c>
      <c r="P141" s="4">
        <f>'Azucares y Bebidas'!$A7*'Azucares y Bebidas'!P7/100</f>
        <v>0.105</v>
      </c>
      <c r="Q141" s="4">
        <f>'Azucares y Bebidas'!$A7*'Azucares y Bebidas'!Q7/100</f>
        <v>0</v>
      </c>
      <c r="R141" s="11">
        <f>'Azucares y Bebidas'!$A7*'Azucares y Bebidas'!R7/100</f>
        <v>0</v>
      </c>
      <c r="S141" s="11">
        <f>'Azucares y Bebidas'!$A7*'Azucares y Bebidas'!S7/100</f>
        <v>8.2500000000000004E-2</v>
      </c>
      <c r="T141" s="11">
        <f>'Azucares y Bebidas'!$A7*'Azucares y Bebidas'!T7/100</f>
        <v>0</v>
      </c>
      <c r="U141" s="11">
        <f>'Azucares y Bebidas'!$A7*'Azucares y Bebidas'!U7/100</f>
        <v>24</v>
      </c>
    </row>
    <row r="142" spans="1:21" x14ac:dyDescent="0.15">
      <c r="A142" s="10">
        <f>'Azucares y Bebidas'!A8</f>
        <v>0</v>
      </c>
      <c r="B142" s="4" t="str">
        <f>'Azucares y Bebidas'!B8</f>
        <v>Chocolate con Leche y azucar</v>
      </c>
      <c r="C142" s="4">
        <f>'Azucares y Bebidas'!$A8*'Azucares y Bebidas'!C8/100</f>
        <v>0</v>
      </c>
      <c r="D142" s="4">
        <f>'Azucares y Bebidas'!$A8*'Azucares y Bebidas'!D8/100</f>
        <v>0</v>
      </c>
      <c r="E142" s="4">
        <f>'Azucares y Bebidas'!$A8*'Azucares y Bebidas'!E8/100</f>
        <v>0</v>
      </c>
      <c r="F142" s="4">
        <f>'Azucares y Bebidas'!$A8*'Azucares y Bebidas'!F8/100</f>
        <v>0</v>
      </c>
      <c r="G142" s="4">
        <f>'Azucares y Bebidas'!$A8*'Azucares y Bebidas'!G8/100</f>
        <v>0</v>
      </c>
      <c r="H142" s="4">
        <f>'Azucares y Bebidas'!$A8*'Azucares y Bebidas'!H8/100</f>
        <v>0</v>
      </c>
      <c r="I142" s="4">
        <f>'Azucares y Bebidas'!$A8*'Azucares y Bebidas'!I8/100</f>
        <v>0</v>
      </c>
      <c r="J142" s="4">
        <f>'Azucares y Bebidas'!$A8*'Azucares y Bebidas'!J8/100</f>
        <v>0</v>
      </c>
      <c r="K142" s="4">
        <f>'Azucares y Bebidas'!$A8*'Azucares y Bebidas'!K8/100</f>
        <v>0</v>
      </c>
      <c r="L142" s="4">
        <f>'Azucares y Bebidas'!$A8*'Azucares y Bebidas'!L8/100</f>
        <v>0</v>
      </c>
      <c r="M142" s="4">
        <f>'Azucares y Bebidas'!$A8*'Azucares y Bebidas'!M8/100</f>
        <v>0</v>
      </c>
      <c r="N142" s="4">
        <f>'Azucares y Bebidas'!$A8*'Azucares y Bebidas'!N8/100</f>
        <v>0</v>
      </c>
      <c r="O142" s="4">
        <f>'Azucares y Bebidas'!$A8*'Azucares y Bebidas'!O8/100</f>
        <v>0</v>
      </c>
      <c r="P142" s="4">
        <f>'Azucares y Bebidas'!$A8*'Azucares y Bebidas'!P8/100</f>
        <v>0</v>
      </c>
      <c r="Q142" s="4">
        <f>'Azucares y Bebidas'!$A8*'Azucares y Bebidas'!Q8/100</f>
        <v>0</v>
      </c>
      <c r="R142" s="11">
        <f>'Azucares y Bebidas'!$A8*'Azucares y Bebidas'!R8/100</f>
        <v>0</v>
      </c>
      <c r="S142" s="11">
        <f>'Azucares y Bebidas'!$A8*'Azucares y Bebidas'!S8/100</f>
        <v>0</v>
      </c>
      <c r="T142" s="11">
        <f>'Azucares y Bebidas'!$A8*'Azucares y Bebidas'!T8/100</f>
        <v>0</v>
      </c>
      <c r="U142" s="11">
        <f>'Azucares y Bebidas'!$A8*'Azucares y Bebidas'!U8/100</f>
        <v>0</v>
      </c>
    </row>
    <row r="143" spans="1:21" x14ac:dyDescent="0.15">
      <c r="A143" s="10">
        <f>'Azucares y Bebidas'!A9</f>
        <v>0</v>
      </c>
      <c r="B143" s="4" t="str">
        <f>'Azucares y Bebidas'!B9</f>
        <v>Donut Comercial</v>
      </c>
      <c r="C143" s="4">
        <f>'Azucares y Bebidas'!$A9*'Azucares y Bebidas'!C9/100</f>
        <v>0</v>
      </c>
      <c r="D143" s="4">
        <f>'Azucares y Bebidas'!$A9*'Azucares y Bebidas'!D9/100</f>
        <v>0</v>
      </c>
      <c r="E143" s="4">
        <f>'Azucares y Bebidas'!$A9*'Azucares y Bebidas'!E9/100</f>
        <v>0</v>
      </c>
      <c r="F143" s="4">
        <f>'Azucares y Bebidas'!$A9*'Azucares y Bebidas'!F9/100</f>
        <v>0</v>
      </c>
      <c r="G143" s="4">
        <f>'Azucares y Bebidas'!$A9*'Azucares y Bebidas'!G9/100</f>
        <v>0</v>
      </c>
      <c r="H143" s="4">
        <f>'Azucares y Bebidas'!$A9*'Azucares y Bebidas'!H9/100</f>
        <v>0</v>
      </c>
      <c r="I143" s="4">
        <f>'Azucares y Bebidas'!$A9*'Azucares y Bebidas'!I9/100</f>
        <v>0</v>
      </c>
      <c r="J143" s="4">
        <f>'Azucares y Bebidas'!$A9*'Azucares y Bebidas'!J9/100</f>
        <v>0</v>
      </c>
      <c r="K143" s="4">
        <f>'Azucares y Bebidas'!$A9*'Azucares y Bebidas'!K9/100</f>
        <v>0</v>
      </c>
      <c r="L143" s="4">
        <f>'Azucares y Bebidas'!$A9*'Azucares y Bebidas'!L9/100</f>
        <v>0</v>
      </c>
      <c r="M143" s="4">
        <f>'Azucares y Bebidas'!$A9*'Azucares y Bebidas'!M9/100</f>
        <v>0</v>
      </c>
      <c r="N143" s="4">
        <f>'Azucares y Bebidas'!$A9*'Azucares y Bebidas'!N9/100</f>
        <v>0</v>
      </c>
      <c r="O143" s="4">
        <f>'Azucares y Bebidas'!$A9*'Azucares y Bebidas'!O9/100</f>
        <v>0</v>
      </c>
      <c r="P143" s="4">
        <f>'Azucares y Bebidas'!$A9*'Azucares y Bebidas'!P9/100</f>
        <v>0</v>
      </c>
      <c r="Q143" s="4">
        <f>'Azucares y Bebidas'!$A9*'Azucares y Bebidas'!Q9/100</f>
        <v>0</v>
      </c>
      <c r="R143" s="11">
        <f>'Azucares y Bebidas'!$A9*'Azucares y Bebidas'!R9/100</f>
        <v>0</v>
      </c>
      <c r="S143" s="11">
        <f>'Azucares y Bebidas'!$A9*'Azucares y Bebidas'!S9/100</f>
        <v>0</v>
      </c>
      <c r="T143" s="11">
        <f>'Azucares y Bebidas'!$A9*'Azucares y Bebidas'!T9/100</f>
        <v>0</v>
      </c>
      <c r="U143" s="11">
        <f>'Azucares y Bebidas'!$A9*'Azucares y Bebidas'!U9/100</f>
        <v>0</v>
      </c>
    </row>
    <row r="144" spans="1:21" x14ac:dyDescent="0.15">
      <c r="A144" s="10">
        <f>'Azucares y Bebidas'!A10</f>
        <v>0</v>
      </c>
      <c r="B144" s="4" t="str">
        <f>'Azucares y Bebidas'!B10</f>
        <v>Croissant</v>
      </c>
      <c r="C144" s="4">
        <f>'Azucares y Bebidas'!$A10*'Azucares y Bebidas'!C10/100</f>
        <v>0</v>
      </c>
      <c r="D144" s="4">
        <f>'Azucares y Bebidas'!$A10*'Azucares y Bebidas'!D10/100</f>
        <v>0</v>
      </c>
      <c r="E144" s="4">
        <f>'Azucares y Bebidas'!$A10*'Azucares y Bebidas'!E10/100</f>
        <v>0</v>
      </c>
      <c r="F144" s="4">
        <f>'Azucares y Bebidas'!$A10*'Azucares y Bebidas'!F10/100</f>
        <v>0</v>
      </c>
      <c r="G144" s="4">
        <f>'Azucares y Bebidas'!$A10*'Azucares y Bebidas'!G10/100</f>
        <v>0</v>
      </c>
      <c r="H144" s="4">
        <f>'Azucares y Bebidas'!$A10*'Azucares y Bebidas'!H10/100</f>
        <v>0</v>
      </c>
      <c r="I144" s="4">
        <f>'Azucares y Bebidas'!$A10*'Azucares y Bebidas'!I10/100</f>
        <v>0</v>
      </c>
      <c r="J144" s="4">
        <f>'Azucares y Bebidas'!$A10*'Azucares y Bebidas'!J10/100</f>
        <v>0</v>
      </c>
      <c r="K144" s="4">
        <f>'Azucares y Bebidas'!$A10*'Azucares y Bebidas'!K10/100</f>
        <v>0</v>
      </c>
      <c r="L144" s="4">
        <f>'Azucares y Bebidas'!$A10*'Azucares y Bebidas'!L10/100</f>
        <v>0</v>
      </c>
      <c r="M144" s="4">
        <f>'Azucares y Bebidas'!$A10*'Azucares y Bebidas'!M10/100</f>
        <v>0</v>
      </c>
      <c r="N144" s="4">
        <f>'Azucares y Bebidas'!$A10*'Azucares y Bebidas'!N10/100</f>
        <v>0</v>
      </c>
      <c r="O144" s="4">
        <f>'Azucares y Bebidas'!$A10*'Azucares y Bebidas'!O10/100</f>
        <v>0</v>
      </c>
      <c r="P144" s="4">
        <f>'Azucares y Bebidas'!$A10*'Azucares y Bebidas'!P10/100</f>
        <v>0</v>
      </c>
      <c r="Q144" s="4">
        <f>'Azucares y Bebidas'!$A10*'Azucares y Bebidas'!Q10/100</f>
        <v>0</v>
      </c>
      <c r="R144" s="11">
        <f>'Azucares y Bebidas'!$A10*'Azucares y Bebidas'!R10/100</f>
        <v>0</v>
      </c>
      <c r="S144" s="11">
        <f>'Azucares y Bebidas'!$A10*'Azucares y Bebidas'!S10/100</f>
        <v>0</v>
      </c>
      <c r="T144" s="11">
        <f>'Azucares y Bebidas'!$A10*'Azucares y Bebidas'!T10/100</f>
        <v>0</v>
      </c>
      <c r="U144" s="11">
        <f>'Azucares y Bebidas'!$A10*'Azucares y Bebidas'!U10/100</f>
        <v>0</v>
      </c>
    </row>
    <row r="145" spans="1:21" x14ac:dyDescent="0.15">
      <c r="A145" s="10">
        <f>'Azucares y Bebidas'!A11</f>
        <v>0</v>
      </c>
      <c r="B145" s="4">
        <f>'Azucares y Bebidas'!B11</f>
        <v>0</v>
      </c>
      <c r="C145" s="4">
        <f>'Azucares y Bebidas'!$A11*'Azucares y Bebidas'!C11/100</f>
        <v>0</v>
      </c>
      <c r="D145" s="4">
        <f>'Azucares y Bebidas'!$A11*'Azucares y Bebidas'!D11/100</f>
        <v>0</v>
      </c>
      <c r="E145" s="4">
        <f>'Azucares y Bebidas'!$A11*'Azucares y Bebidas'!E11/100</f>
        <v>0</v>
      </c>
      <c r="F145" s="4">
        <f>'Azucares y Bebidas'!$A11*'Azucares y Bebidas'!F11/100</f>
        <v>0</v>
      </c>
      <c r="G145" s="4">
        <f>'Azucares y Bebidas'!$A11*'Azucares y Bebidas'!G11/100</f>
        <v>0</v>
      </c>
      <c r="H145" s="4">
        <f>'Azucares y Bebidas'!$A11*'Azucares y Bebidas'!H11/100</f>
        <v>0</v>
      </c>
      <c r="I145" s="4">
        <f>'Azucares y Bebidas'!$A11*'Azucares y Bebidas'!I11/100</f>
        <v>0</v>
      </c>
      <c r="J145" s="4">
        <f>'Azucares y Bebidas'!$A11*'Azucares y Bebidas'!J11/100</f>
        <v>0</v>
      </c>
      <c r="K145" s="4">
        <f>'Azucares y Bebidas'!$A11*'Azucares y Bebidas'!K11/100</f>
        <v>0</v>
      </c>
      <c r="L145" s="4">
        <f>'Azucares y Bebidas'!$A11*'Azucares y Bebidas'!L11/100</f>
        <v>0</v>
      </c>
      <c r="M145" s="4">
        <f>'Azucares y Bebidas'!$A11*'Azucares y Bebidas'!M11/100</f>
        <v>0</v>
      </c>
      <c r="N145" s="4">
        <f>'Azucares y Bebidas'!$A11*'Azucares y Bebidas'!N11/100</f>
        <v>0</v>
      </c>
      <c r="O145" s="4">
        <f>'Azucares y Bebidas'!$A11*'Azucares y Bebidas'!O11/100</f>
        <v>0</v>
      </c>
      <c r="P145" s="4">
        <f>'Azucares y Bebidas'!$A11*'Azucares y Bebidas'!P11/100</f>
        <v>0</v>
      </c>
      <c r="Q145" s="4">
        <f>'Azucares y Bebidas'!$A11*'Azucares y Bebidas'!Q11/100</f>
        <v>0</v>
      </c>
      <c r="R145" s="11">
        <f>'Azucares y Bebidas'!$A11*'Azucares y Bebidas'!R11/100</f>
        <v>0</v>
      </c>
      <c r="S145" s="11">
        <f>'Azucares y Bebidas'!$A11*'Azucares y Bebidas'!S11/100</f>
        <v>0</v>
      </c>
      <c r="T145" s="11">
        <f>'Azucares y Bebidas'!$A11*'Azucares y Bebidas'!T11/100</f>
        <v>0</v>
      </c>
      <c r="U145" s="11">
        <f>'Azucares y Bebidas'!$A11*'Azucares y Bebidas'!U11/100</f>
        <v>0</v>
      </c>
    </row>
    <row r="146" spans="1:21" x14ac:dyDescent="0.15">
      <c r="A146" s="10">
        <f>'Azucares y Bebidas'!A12</f>
        <v>0</v>
      </c>
      <c r="B146" s="4">
        <f>'Azucares y Bebidas'!B12</f>
        <v>0</v>
      </c>
      <c r="C146" s="4">
        <f>'Azucares y Bebidas'!$A12*'Azucares y Bebidas'!C12/100</f>
        <v>0</v>
      </c>
      <c r="D146" s="4">
        <f>'Azucares y Bebidas'!$A12*'Azucares y Bebidas'!D12/100</f>
        <v>0</v>
      </c>
      <c r="E146" s="4">
        <f>'Azucares y Bebidas'!$A12*'Azucares y Bebidas'!E12/100</f>
        <v>0</v>
      </c>
      <c r="F146" s="4">
        <f>'Azucares y Bebidas'!$A12*'Azucares y Bebidas'!F12/100</f>
        <v>0</v>
      </c>
      <c r="G146" s="4">
        <f>'Azucares y Bebidas'!$A12*'Azucares y Bebidas'!G12/100</f>
        <v>0</v>
      </c>
      <c r="H146" s="4">
        <f>'Azucares y Bebidas'!$A12*'Azucares y Bebidas'!H12/100</f>
        <v>0</v>
      </c>
      <c r="I146" s="4">
        <f>'Azucares y Bebidas'!$A12*'Azucares y Bebidas'!I12/100</f>
        <v>0</v>
      </c>
      <c r="J146" s="4">
        <f>'Azucares y Bebidas'!$A12*'Azucares y Bebidas'!J12/100</f>
        <v>0</v>
      </c>
      <c r="K146" s="4">
        <f>'Azucares y Bebidas'!$A12*'Azucares y Bebidas'!K12/100</f>
        <v>0</v>
      </c>
      <c r="L146" s="4">
        <f>'Azucares y Bebidas'!$A12*'Azucares y Bebidas'!L12/100</f>
        <v>0</v>
      </c>
      <c r="M146" s="4">
        <f>'Azucares y Bebidas'!$A12*'Azucares y Bebidas'!M12/100</f>
        <v>0</v>
      </c>
      <c r="N146" s="4">
        <f>'Azucares y Bebidas'!$A12*'Azucares y Bebidas'!N12/100</f>
        <v>0</v>
      </c>
      <c r="O146" s="4">
        <f>'Azucares y Bebidas'!$A12*'Azucares y Bebidas'!O12/100</f>
        <v>0</v>
      </c>
      <c r="P146" s="4">
        <f>'Azucares y Bebidas'!$A12*'Azucares y Bebidas'!P12/100</f>
        <v>0</v>
      </c>
      <c r="Q146" s="4">
        <f>'Azucares y Bebidas'!$A12*'Azucares y Bebidas'!Q12/100</f>
        <v>0</v>
      </c>
      <c r="R146" s="11">
        <f>'Azucares y Bebidas'!$A12*'Azucares y Bebidas'!R12/100</f>
        <v>0</v>
      </c>
      <c r="S146" s="11">
        <f>'Azucares y Bebidas'!$A12*'Azucares y Bebidas'!S12/100</f>
        <v>0</v>
      </c>
      <c r="T146" s="11">
        <f>'Azucares y Bebidas'!$A12*'Azucares y Bebidas'!T12/100</f>
        <v>0</v>
      </c>
      <c r="U146" s="11">
        <f>'Azucares y Bebidas'!$A12*'Azucares y Bebidas'!U12/100</f>
        <v>0</v>
      </c>
    </row>
    <row r="147" spans="1:21" x14ac:dyDescent="0.15">
      <c r="A147" s="10">
        <f>'Azucares y Bebidas'!A13</f>
        <v>0</v>
      </c>
      <c r="B147" s="4">
        <f>'Azucares y Bebidas'!B13</f>
        <v>0</v>
      </c>
      <c r="C147" s="4">
        <f>'Azucares y Bebidas'!$A13*'Azucares y Bebidas'!C13/100</f>
        <v>0</v>
      </c>
      <c r="D147" s="4">
        <f>'Azucares y Bebidas'!$A13*'Azucares y Bebidas'!D13/100</f>
        <v>0</v>
      </c>
      <c r="E147" s="4">
        <f>'Azucares y Bebidas'!$A13*'Azucares y Bebidas'!E13/100</f>
        <v>0</v>
      </c>
      <c r="F147" s="4">
        <f>'Azucares y Bebidas'!$A13*'Azucares y Bebidas'!F13/100</f>
        <v>0</v>
      </c>
      <c r="G147" s="4">
        <f>'Azucares y Bebidas'!$A13*'Azucares y Bebidas'!G13/100</f>
        <v>0</v>
      </c>
      <c r="H147" s="4">
        <f>'Azucares y Bebidas'!$A13*'Azucares y Bebidas'!H13/100</f>
        <v>0</v>
      </c>
      <c r="I147" s="4">
        <f>'Azucares y Bebidas'!$A13*'Azucares y Bebidas'!I13/100</f>
        <v>0</v>
      </c>
      <c r="J147" s="4">
        <f>'Azucares y Bebidas'!$A13*'Azucares y Bebidas'!J13/100</f>
        <v>0</v>
      </c>
      <c r="K147" s="4">
        <f>'Azucares y Bebidas'!$A13*'Azucares y Bebidas'!K13/100</f>
        <v>0</v>
      </c>
      <c r="L147" s="4">
        <f>'Azucares y Bebidas'!$A13*'Azucares y Bebidas'!L13/100</f>
        <v>0</v>
      </c>
      <c r="M147" s="4">
        <f>'Azucares y Bebidas'!$A13*'Azucares y Bebidas'!M13/100</f>
        <v>0</v>
      </c>
      <c r="N147" s="4">
        <f>'Azucares y Bebidas'!$A13*'Azucares y Bebidas'!N13/100</f>
        <v>0</v>
      </c>
      <c r="O147" s="4">
        <f>'Azucares y Bebidas'!$A13*'Azucares y Bebidas'!O13/100</f>
        <v>0</v>
      </c>
      <c r="P147" s="4">
        <f>'Azucares y Bebidas'!$A13*'Azucares y Bebidas'!P13/100</f>
        <v>0</v>
      </c>
      <c r="Q147" s="4">
        <f>'Azucares y Bebidas'!$A13*'Azucares y Bebidas'!Q13/100</f>
        <v>0</v>
      </c>
      <c r="R147" s="11">
        <f>'Azucares y Bebidas'!$A13*'Azucares y Bebidas'!R13/100</f>
        <v>0</v>
      </c>
      <c r="S147" s="11">
        <f>'Azucares y Bebidas'!$A13*'Azucares y Bebidas'!S13/100</f>
        <v>0</v>
      </c>
      <c r="T147" s="11">
        <f>'Azucares y Bebidas'!$A13*'Azucares y Bebidas'!T13/100</f>
        <v>0</v>
      </c>
      <c r="U147" s="11">
        <f>'Azucares y Bebidas'!$A13*'Azucares y Bebidas'!U13/100</f>
        <v>0</v>
      </c>
    </row>
    <row r="148" spans="1:21" x14ac:dyDescent="0.15">
      <c r="A148" s="10">
        <f>'Azucares y Bebidas'!A14</f>
        <v>0</v>
      </c>
      <c r="B148" s="4">
        <f>'Azucares y Bebidas'!B14</f>
        <v>0</v>
      </c>
      <c r="C148" s="4">
        <f>'Azucares y Bebidas'!$A14*'Azucares y Bebidas'!C14/100</f>
        <v>0</v>
      </c>
      <c r="D148" s="4">
        <f>'Azucares y Bebidas'!$A14*'Azucares y Bebidas'!D14/100</f>
        <v>0</v>
      </c>
      <c r="E148" s="4">
        <f>'Azucares y Bebidas'!$A14*'Azucares y Bebidas'!E14/100</f>
        <v>0</v>
      </c>
      <c r="F148" s="4">
        <f>'Azucares y Bebidas'!$A14*'Azucares y Bebidas'!F14/100</f>
        <v>0</v>
      </c>
      <c r="G148" s="4">
        <f>'Azucares y Bebidas'!$A14*'Azucares y Bebidas'!G14/100</f>
        <v>0</v>
      </c>
      <c r="H148" s="4">
        <f>'Azucares y Bebidas'!$A14*'Azucares y Bebidas'!H14/100</f>
        <v>0</v>
      </c>
      <c r="I148" s="4">
        <f>'Azucares y Bebidas'!$A14*'Azucares y Bebidas'!I14/100</f>
        <v>0</v>
      </c>
      <c r="J148" s="4">
        <f>'Azucares y Bebidas'!$A14*'Azucares y Bebidas'!J14/100</f>
        <v>0</v>
      </c>
      <c r="K148" s="4">
        <f>'Azucares y Bebidas'!$A14*'Azucares y Bebidas'!K14/100</f>
        <v>0</v>
      </c>
      <c r="L148" s="4">
        <f>'Azucares y Bebidas'!$A14*'Azucares y Bebidas'!L14/100</f>
        <v>0</v>
      </c>
      <c r="M148" s="4">
        <f>'Azucares y Bebidas'!$A14*'Azucares y Bebidas'!M14/100</f>
        <v>0</v>
      </c>
      <c r="N148" s="4">
        <f>'Azucares y Bebidas'!$A14*'Azucares y Bebidas'!N14/100</f>
        <v>0</v>
      </c>
      <c r="O148" s="4">
        <f>'Azucares y Bebidas'!$A14*'Azucares y Bebidas'!O14/100</f>
        <v>0</v>
      </c>
      <c r="P148" s="4">
        <f>'Azucares y Bebidas'!$A14*'Azucares y Bebidas'!P14/100</f>
        <v>0</v>
      </c>
      <c r="Q148" s="4">
        <f>'Azucares y Bebidas'!$A14*'Azucares y Bebidas'!Q14/100</f>
        <v>0</v>
      </c>
      <c r="R148" s="11">
        <f>'Azucares y Bebidas'!$A14*'Azucares y Bebidas'!R14/100</f>
        <v>0</v>
      </c>
      <c r="S148" s="11">
        <f>'Azucares y Bebidas'!$A14*'Azucares y Bebidas'!S14/100</f>
        <v>0</v>
      </c>
      <c r="T148" s="11">
        <f>'Azucares y Bebidas'!$A14*'Azucares y Bebidas'!T14/100</f>
        <v>0</v>
      </c>
      <c r="U148" s="11">
        <f>'Azucares y Bebidas'!$A14*'Azucares y Bebidas'!U14/100</f>
        <v>0</v>
      </c>
    </row>
    <row r="149" spans="1:21" x14ac:dyDescent="0.15">
      <c r="A149" s="10">
        <f>'Azucares y Bebidas'!A15</f>
        <v>0</v>
      </c>
      <c r="B149" s="4">
        <f>'Azucares y Bebidas'!B15</f>
        <v>0</v>
      </c>
      <c r="C149" s="4">
        <f>'Azucares y Bebidas'!$A15*'Azucares y Bebidas'!C15/100</f>
        <v>0</v>
      </c>
      <c r="D149" s="4">
        <f>'Azucares y Bebidas'!$A15*'Azucares y Bebidas'!D15/100</f>
        <v>0</v>
      </c>
      <c r="E149" s="4">
        <f>'Azucares y Bebidas'!$A15*'Azucares y Bebidas'!E15/100</f>
        <v>0</v>
      </c>
      <c r="F149" s="4">
        <f>'Azucares y Bebidas'!$A15*'Azucares y Bebidas'!F15/100</f>
        <v>0</v>
      </c>
      <c r="G149" s="4">
        <f>'Azucares y Bebidas'!$A15*'Azucares y Bebidas'!G15/100</f>
        <v>0</v>
      </c>
      <c r="H149" s="4">
        <f>'Azucares y Bebidas'!$A15*'Azucares y Bebidas'!H15/100</f>
        <v>0</v>
      </c>
      <c r="I149" s="4">
        <f>'Azucares y Bebidas'!$A15*'Azucares y Bebidas'!I15/100</f>
        <v>0</v>
      </c>
      <c r="J149" s="4">
        <f>'Azucares y Bebidas'!$A15*'Azucares y Bebidas'!J15/100</f>
        <v>0</v>
      </c>
      <c r="K149" s="4">
        <f>'Azucares y Bebidas'!$A15*'Azucares y Bebidas'!K15/100</f>
        <v>0</v>
      </c>
      <c r="L149" s="4">
        <f>'Azucares y Bebidas'!$A15*'Azucares y Bebidas'!L15/100</f>
        <v>0</v>
      </c>
      <c r="M149" s="4">
        <f>'Azucares y Bebidas'!$A15*'Azucares y Bebidas'!M15/100</f>
        <v>0</v>
      </c>
      <c r="N149" s="4">
        <f>'Azucares y Bebidas'!$A15*'Azucares y Bebidas'!N15/100</f>
        <v>0</v>
      </c>
      <c r="O149" s="4">
        <f>'Azucares y Bebidas'!$A15*'Azucares y Bebidas'!O15/100</f>
        <v>0</v>
      </c>
      <c r="P149" s="4">
        <f>'Azucares y Bebidas'!$A15*'Azucares y Bebidas'!P15/100</f>
        <v>0</v>
      </c>
      <c r="Q149" s="4">
        <f>'Azucares y Bebidas'!$A15*'Azucares y Bebidas'!Q15/100</f>
        <v>0</v>
      </c>
      <c r="R149" s="11">
        <f>'Azucares y Bebidas'!$A15*'Azucares y Bebidas'!R15/100</f>
        <v>0</v>
      </c>
      <c r="S149" s="11">
        <f>'Azucares y Bebidas'!$A15*'Azucares y Bebidas'!S15/100</f>
        <v>0</v>
      </c>
      <c r="T149" s="11">
        <f>'Azucares y Bebidas'!$A15*'Azucares y Bebidas'!T15/100</f>
        <v>0</v>
      </c>
      <c r="U149" s="11">
        <f>'Azucares y Bebidas'!$A15*'Azucares y Bebidas'!U15/100</f>
        <v>0</v>
      </c>
    </row>
    <row r="150" spans="1:21" x14ac:dyDescent="0.15">
      <c r="A150" s="10">
        <f>'Azucares y Bebidas'!A16</f>
        <v>0</v>
      </c>
      <c r="B150" s="4">
        <f>'Azucares y Bebidas'!B16</f>
        <v>0</v>
      </c>
      <c r="C150" s="4">
        <f>'Azucares y Bebidas'!$A16*'Azucares y Bebidas'!C16/100</f>
        <v>0</v>
      </c>
      <c r="D150" s="4">
        <f>'Azucares y Bebidas'!$A16*'Azucares y Bebidas'!D16/100</f>
        <v>0</v>
      </c>
      <c r="E150" s="4">
        <f>'Azucares y Bebidas'!$A16*'Azucares y Bebidas'!E16/100</f>
        <v>0</v>
      </c>
      <c r="F150" s="4">
        <f>'Azucares y Bebidas'!$A16*'Azucares y Bebidas'!F16/100</f>
        <v>0</v>
      </c>
      <c r="G150" s="4">
        <f>'Azucares y Bebidas'!$A16*'Azucares y Bebidas'!G16/100</f>
        <v>0</v>
      </c>
      <c r="H150" s="4">
        <f>'Azucares y Bebidas'!$A16*'Azucares y Bebidas'!H16/100</f>
        <v>0</v>
      </c>
      <c r="I150" s="4">
        <f>'Azucares y Bebidas'!$A16*'Azucares y Bebidas'!I16/100</f>
        <v>0</v>
      </c>
      <c r="J150" s="4">
        <f>'Azucares y Bebidas'!$A16*'Azucares y Bebidas'!J16/100</f>
        <v>0</v>
      </c>
      <c r="K150" s="4">
        <f>'Azucares y Bebidas'!$A16*'Azucares y Bebidas'!K16/100</f>
        <v>0</v>
      </c>
      <c r="L150" s="4">
        <f>'Azucares y Bebidas'!$A16*'Azucares y Bebidas'!L16/100</f>
        <v>0</v>
      </c>
      <c r="M150" s="4">
        <f>'Azucares y Bebidas'!$A16*'Azucares y Bebidas'!M16/100</f>
        <v>0</v>
      </c>
      <c r="N150" s="4">
        <f>'Azucares y Bebidas'!$A16*'Azucares y Bebidas'!N16/100</f>
        <v>0</v>
      </c>
      <c r="O150" s="4">
        <f>'Azucares y Bebidas'!$A16*'Azucares y Bebidas'!O16/100</f>
        <v>0</v>
      </c>
      <c r="P150" s="4">
        <f>'Azucares y Bebidas'!$A16*'Azucares y Bebidas'!P16/100</f>
        <v>0</v>
      </c>
      <c r="Q150" s="4">
        <f>'Azucares y Bebidas'!$A16*'Azucares y Bebidas'!Q16/100</f>
        <v>0</v>
      </c>
      <c r="R150" s="11">
        <f>'Azucares y Bebidas'!$A16*'Azucares y Bebidas'!R16/100</f>
        <v>0</v>
      </c>
      <c r="S150" s="11">
        <f>'Azucares y Bebidas'!$A16*'Azucares y Bebidas'!S16/100</f>
        <v>0</v>
      </c>
      <c r="T150" s="11">
        <f>'Azucares y Bebidas'!$A16*'Azucares y Bebidas'!T16/100</f>
        <v>0</v>
      </c>
      <c r="U150" s="11">
        <f>'Azucares y Bebidas'!$A16*'Azucares y Bebidas'!U16/100</f>
        <v>0</v>
      </c>
    </row>
    <row r="151" spans="1:21" x14ac:dyDescent="0.15">
      <c r="A151" s="10"/>
      <c r="B151" s="4"/>
      <c r="C151" s="4"/>
      <c r="D151" s="4"/>
      <c r="E151" s="4"/>
      <c r="F151" s="4"/>
      <c r="G151" s="4"/>
      <c r="H151" s="4"/>
      <c r="I151" s="4"/>
      <c r="J151" s="4"/>
      <c r="K151" s="4"/>
      <c r="L151" s="4"/>
      <c r="M151" s="4"/>
      <c r="N151" s="4"/>
      <c r="O151" s="4"/>
      <c r="P151" s="4"/>
      <c r="Q151" s="4"/>
      <c r="R151" s="11"/>
      <c r="S151" s="11"/>
      <c r="T151" s="11"/>
      <c r="U151" s="11"/>
    </row>
    <row r="152" spans="1:21" x14ac:dyDescent="0.15">
      <c r="A152" s="10"/>
      <c r="B152" s="4"/>
      <c r="C152" s="4"/>
      <c r="D152" s="4"/>
      <c r="E152" s="4"/>
      <c r="F152" s="4"/>
      <c r="G152" s="4"/>
      <c r="H152" s="4"/>
      <c r="I152" s="4"/>
      <c r="J152" s="4"/>
      <c r="K152" s="4"/>
      <c r="L152" s="4"/>
      <c r="M152" s="4"/>
      <c r="N152" s="4"/>
      <c r="O152" s="4"/>
      <c r="P152" s="4"/>
      <c r="Q152" s="4"/>
      <c r="R152" s="11"/>
      <c r="S152" s="11"/>
      <c r="T152" s="11"/>
      <c r="U152" s="11"/>
    </row>
    <row r="153" spans="1:21" x14ac:dyDescent="0.15">
      <c r="A153" s="10"/>
      <c r="B153" s="4"/>
      <c r="C153" s="4"/>
      <c r="D153" s="4"/>
      <c r="E153" s="4"/>
      <c r="F153" s="4"/>
      <c r="G153" s="4"/>
      <c r="H153" s="4"/>
      <c r="I153" s="4"/>
      <c r="J153" s="4"/>
      <c r="K153" s="4"/>
      <c r="L153" s="4"/>
      <c r="M153" s="4"/>
      <c r="N153" s="4"/>
      <c r="O153" s="4"/>
      <c r="P153" s="4"/>
      <c r="Q153" s="4"/>
      <c r="R153" s="11"/>
      <c r="S153" s="11"/>
      <c r="T153" s="11"/>
      <c r="U153" s="11"/>
    </row>
    <row r="154" spans="1:21" x14ac:dyDescent="0.15">
      <c r="A154" s="10">
        <f>'Azucares y Bebidas'!A20</f>
        <v>0</v>
      </c>
      <c r="B154" s="4" t="str">
        <f>'Azucares y Bebidas'!B20</f>
        <v>Horchata</v>
      </c>
      <c r="C154" s="4">
        <f>'Azucares y Bebidas'!$A20*'Azucares y Bebidas'!C20/100</f>
        <v>0</v>
      </c>
      <c r="D154" s="4">
        <f>'Azucares y Bebidas'!$A20*'Azucares y Bebidas'!D20/100</f>
        <v>0</v>
      </c>
      <c r="E154" s="4">
        <f>'Azucares y Bebidas'!$A20*'Azucares y Bebidas'!E20/100</f>
        <v>0</v>
      </c>
      <c r="F154" s="4">
        <f>'Azucares y Bebidas'!$A20*'Azucares y Bebidas'!F20/100</f>
        <v>0</v>
      </c>
      <c r="G154" s="4">
        <f>'Azucares y Bebidas'!$A20*'Azucares y Bebidas'!G20/100</f>
        <v>0</v>
      </c>
      <c r="H154" s="4">
        <f>'Azucares y Bebidas'!$A20*'Azucares y Bebidas'!H20/100</f>
        <v>0</v>
      </c>
      <c r="I154" s="4">
        <f>'Azucares y Bebidas'!$A20*'Azucares y Bebidas'!I20/100</f>
        <v>0</v>
      </c>
      <c r="J154" s="4">
        <f>'Azucares y Bebidas'!$A20*'Azucares y Bebidas'!J20/100</f>
        <v>0</v>
      </c>
      <c r="K154" s="4">
        <f>'Azucares y Bebidas'!$A20*'Azucares y Bebidas'!K20/100</f>
        <v>0</v>
      </c>
      <c r="L154" s="4">
        <f>'Azucares y Bebidas'!$A20*'Azucares y Bebidas'!L20/100</f>
        <v>0</v>
      </c>
      <c r="M154" s="4">
        <f>'Azucares y Bebidas'!$A20*'Azucares y Bebidas'!M20/100</f>
        <v>0</v>
      </c>
      <c r="N154" s="4">
        <f>'Azucares y Bebidas'!$A20*'Azucares y Bebidas'!N20/100</f>
        <v>0</v>
      </c>
      <c r="O154" s="4">
        <f>'Azucares y Bebidas'!$A20*'Azucares y Bebidas'!O20/100</f>
        <v>0</v>
      </c>
      <c r="P154" s="4">
        <f>'Azucares y Bebidas'!$A20*'Azucares y Bebidas'!P20/100</f>
        <v>0</v>
      </c>
      <c r="Q154" s="4">
        <f>'Azucares y Bebidas'!$A20*'Azucares y Bebidas'!Q20/100</f>
        <v>0</v>
      </c>
      <c r="R154" s="11">
        <f>'Azucares y Bebidas'!$A20*'Azucares y Bebidas'!R20/100</f>
        <v>0</v>
      </c>
      <c r="S154" s="11">
        <f>'Azucares y Bebidas'!$A20*'Azucares y Bebidas'!S20/100</f>
        <v>0</v>
      </c>
      <c r="T154" s="11">
        <f>'Azucares y Bebidas'!$A20*'Azucares y Bebidas'!T20/100</f>
        <v>0</v>
      </c>
      <c r="U154" s="11">
        <f>'Azucares y Bebidas'!$A20*'Azucares y Bebidas'!U20/100</f>
        <v>0</v>
      </c>
    </row>
    <row r="155" spans="1:21" x14ac:dyDescent="0.15">
      <c r="A155" s="10">
        <f>'Azucares y Bebidas'!A21</f>
        <v>0</v>
      </c>
      <c r="B155" s="4" t="str">
        <f>'Azucares y Bebidas'!B21</f>
        <v>Bebidas Carbonatadas Azucaradas</v>
      </c>
      <c r="C155" s="4">
        <f>'Azucares y Bebidas'!$A21*'Azucares y Bebidas'!C21/100</f>
        <v>0</v>
      </c>
      <c r="D155" s="4">
        <f>'Azucares y Bebidas'!$A21*'Azucares y Bebidas'!D21/100</f>
        <v>0</v>
      </c>
      <c r="E155" s="4">
        <f>'Azucares y Bebidas'!$A21*'Azucares y Bebidas'!E21/100</f>
        <v>0</v>
      </c>
      <c r="F155" s="4">
        <f>'Azucares y Bebidas'!$A21*'Azucares y Bebidas'!F21/100</f>
        <v>0</v>
      </c>
      <c r="G155" s="4">
        <f>'Azucares y Bebidas'!$A21*'Azucares y Bebidas'!G21/100</f>
        <v>0</v>
      </c>
      <c r="H155" s="4">
        <f>'Azucares y Bebidas'!$A21*'Azucares y Bebidas'!H21/100</f>
        <v>0</v>
      </c>
      <c r="I155" s="4">
        <f>'Azucares y Bebidas'!$A21*'Azucares y Bebidas'!I21/100</f>
        <v>0</v>
      </c>
      <c r="J155" s="4">
        <f>'Azucares y Bebidas'!$A21*'Azucares y Bebidas'!J21/100</f>
        <v>0</v>
      </c>
      <c r="K155" s="4">
        <f>'Azucares y Bebidas'!$A21*'Azucares y Bebidas'!K21/100</f>
        <v>0</v>
      </c>
      <c r="L155" s="4">
        <f>'Azucares y Bebidas'!$A21*'Azucares y Bebidas'!L21/100</f>
        <v>0</v>
      </c>
      <c r="M155" s="4">
        <f>'Azucares y Bebidas'!$A21*'Azucares y Bebidas'!M21/100</f>
        <v>0</v>
      </c>
      <c r="N155" s="4">
        <f>'Azucares y Bebidas'!$A21*'Azucares y Bebidas'!N21/100</f>
        <v>0</v>
      </c>
      <c r="O155" s="4">
        <f>'Azucares y Bebidas'!$A21*'Azucares y Bebidas'!O21/100</f>
        <v>0</v>
      </c>
      <c r="P155" s="4">
        <f>'Azucares y Bebidas'!$A21*'Azucares y Bebidas'!P21/100</f>
        <v>0</v>
      </c>
      <c r="Q155" s="4">
        <f>'Azucares y Bebidas'!$A21*'Azucares y Bebidas'!Q21/100</f>
        <v>0</v>
      </c>
      <c r="R155" s="11">
        <f>'Azucares y Bebidas'!$A21*'Azucares y Bebidas'!R21/100</f>
        <v>0</v>
      </c>
      <c r="S155" s="11">
        <f>'Azucares y Bebidas'!$A21*'Azucares y Bebidas'!S21/100</f>
        <v>0</v>
      </c>
      <c r="T155" s="11">
        <f>'Azucares y Bebidas'!$A21*'Azucares y Bebidas'!T21/100</f>
        <v>0</v>
      </c>
      <c r="U155" s="11">
        <f>'Azucares y Bebidas'!$A21*'Azucares y Bebidas'!U21/100</f>
        <v>0</v>
      </c>
    </row>
    <row r="156" spans="1:21" x14ac:dyDescent="0.15">
      <c r="A156" s="10">
        <f>'Azucares y Bebidas'!A22</f>
        <v>0</v>
      </c>
      <c r="B156" s="4" t="str">
        <f>'Azucares y Bebidas'!B22</f>
        <v>Zumos de Fruta</v>
      </c>
      <c r="C156" s="4">
        <f>'Azucares y Bebidas'!$A22*'Azucares y Bebidas'!C22/100</f>
        <v>0</v>
      </c>
      <c r="D156" s="4">
        <f>'Azucares y Bebidas'!$A22*'Azucares y Bebidas'!D22/100</f>
        <v>0</v>
      </c>
      <c r="E156" s="4">
        <f>'Azucares y Bebidas'!$A22*'Azucares y Bebidas'!E22/100</f>
        <v>0</v>
      </c>
      <c r="F156" s="4">
        <f>'Azucares y Bebidas'!$A22*'Azucares y Bebidas'!F22/100</f>
        <v>0</v>
      </c>
      <c r="G156" s="4">
        <f>'Azucares y Bebidas'!$A22*'Azucares y Bebidas'!G22/100</f>
        <v>0</v>
      </c>
      <c r="H156" s="4">
        <f>'Azucares y Bebidas'!$A22*'Azucares y Bebidas'!H22/100</f>
        <v>0</v>
      </c>
      <c r="I156" s="4">
        <f>'Azucares y Bebidas'!$A22*'Azucares y Bebidas'!I22/100</f>
        <v>0</v>
      </c>
      <c r="J156" s="4">
        <f>'Azucares y Bebidas'!$A22*'Azucares y Bebidas'!J22/100</f>
        <v>0</v>
      </c>
      <c r="K156" s="4">
        <f>'Azucares y Bebidas'!$A22*'Azucares y Bebidas'!K22/100</f>
        <v>0</v>
      </c>
      <c r="L156" s="4">
        <f>'Azucares y Bebidas'!$A22*'Azucares y Bebidas'!L22/100</f>
        <v>0</v>
      </c>
      <c r="M156" s="4">
        <f>'Azucares y Bebidas'!$A22*'Azucares y Bebidas'!M22/100</f>
        <v>0</v>
      </c>
      <c r="N156" s="4">
        <f>'Azucares y Bebidas'!$A22*'Azucares y Bebidas'!N22/100</f>
        <v>0</v>
      </c>
      <c r="O156" s="4">
        <f>'Azucares y Bebidas'!$A22*'Azucares y Bebidas'!O22/100</f>
        <v>0</v>
      </c>
      <c r="P156" s="4">
        <f>'Azucares y Bebidas'!$A22*'Azucares y Bebidas'!P22/100</f>
        <v>0</v>
      </c>
      <c r="Q156" s="4">
        <f>'Azucares y Bebidas'!$A22*'Azucares y Bebidas'!Q22/100</f>
        <v>0</v>
      </c>
      <c r="R156" s="11">
        <f>'Azucares y Bebidas'!$A22*'Azucares y Bebidas'!R22/100</f>
        <v>0</v>
      </c>
      <c r="S156" s="11">
        <f>'Azucares y Bebidas'!$A22*'Azucares y Bebidas'!S22/100</f>
        <v>0</v>
      </c>
      <c r="T156" s="11">
        <f>'Azucares y Bebidas'!$A22*'Azucares y Bebidas'!T22/100</f>
        <v>0</v>
      </c>
      <c r="U156" s="11">
        <f>'Azucares y Bebidas'!$A22*'Azucares y Bebidas'!U22/100</f>
        <v>0</v>
      </c>
    </row>
    <row r="157" spans="1:21" x14ac:dyDescent="0.15">
      <c r="A157" s="10">
        <f>'Azucares y Bebidas'!A23</f>
        <v>0</v>
      </c>
      <c r="B157" s="4" t="str">
        <f>'Azucares y Bebidas'!B23</f>
        <v>Zumos de Tomate</v>
      </c>
      <c r="C157" s="4">
        <f>'Azucares y Bebidas'!$A23*'Azucares y Bebidas'!C23/100</f>
        <v>0</v>
      </c>
      <c r="D157" s="4">
        <f>'Azucares y Bebidas'!$A23*'Azucares y Bebidas'!D23/100</f>
        <v>0</v>
      </c>
      <c r="E157" s="4">
        <f>'Azucares y Bebidas'!$A23*'Azucares y Bebidas'!E23/100</f>
        <v>0</v>
      </c>
      <c r="F157" s="4">
        <f>'Azucares y Bebidas'!$A23*'Azucares y Bebidas'!F23/100</f>
        <v>0</v>
      </c>
      <c r="G157" s="4">
        <f>'Azucares y Bebidas'!$A23*'Azucares y Bebidas'!G23/100</f>
        <v>0</v>
      </c>
      <c r="H157" s="4">
        <f>'Azucares y Bebidas'!$A23*'Azucares y Bebidas'!H23/100</f>
        <v>0</v>
      </c>
      <c r="I157" s="4">
        <f>'Azucares y Bebidas'!$A23*'Azucares y Bebidas'!I23/100</f>
        <v>0</v>
      </c>
      <c r="J157" s="4">
        <f>'Azucares y Bebidas'!$A23*'Azucares y Bebidas'!J23/100</f>
        <v>0</v>
      </c>
      <c r="K157" s="4">
        <f>'Azucares y Bebidas'!$A23*'Azucares y Bebidas'!K23/100</f>
        <v>0</v>
      </c>
      <c r="L157" s="4">
        <f>'Azucares y Bebidas'!$A23*'Azucares y Bebidas'!L23/100</f>
        <v>0</v>
      </c>
      <c r="M157" s="4">
        <f>'Azucares y Bebidas'!$A23*'Azucares y Bebidas'!M23/100</f>
        <v>0</v>
      </c>
      <c r="N157" s="4">
        <f>'Azucares y Bebidas'!$A23*'Azucares y Bebidas'!N23/100</f>
        <v>0</v>
      </c>
      <c r="O157" s="4">
        <f>'Azucares y Bebidas'!$A23*'Azucares y Bebidas'!O23/100</f>
        <v>0</v>
      </c>
      <c r="P157" s="4">
        <f>'Azucares y Bebidas'!$A23*'Azucares y Bebidas'!P23/100</f>
        <v>0</v>
      </c>
      <c r="Q157" s="4">
        <f>'Azucares y Bebidas'!$A23*'Azucares y Bebidas'!Q23/100</f>
        <v>0</v>
      </c>
      <c r="R157" s="11">
        <f>'Azucares y Bebidas'!$A23*'Azucares y Bebidas'!R23/100</f>
        <v>0</v>
      </c>
      <c r="S157" s="11">
        <f>'Azucares y Bebidas'!$A23*'Azucares y Bebidas'!S23/100</f>
        <v>0</v>
      </c>
      <c r="T157" s="11">
        <f>'Azucares y Bebidas'!$A23*'Azucares y Bebidas'!T23/100</f>
        <v>0</v>
      </c>
      <c r="U157" s="11">
        <f>'Azucares y Bebidas'!$A23*'Azucares y Bebidas'!U23/100</f>
        <v>0</v>
      </c>
    </row>
    <row r="158" spans="1:21" x14ac:dyDescent="0.15">
      <c r="A158" s="10">
        <f>'Azucares y Bebidas'!A24</f>
        <v>0</v>
      </c>
      <c r="B158" s="4" t="str">
        <f>'Azucares y Bebidas'!B24</f>
        <v>Cerveza y Sidra</v>
      </c>
      <c r="C158" s="4">
        <f>'Azucares y Bebidas'!$A24*'Azucares y Bebidas'!C24/100</f>
        <v>0</v>
      </c>
      <c r="D158" s="4">
        <f>'Azucares y Bebidas'!$A24*'Azucares y Bebidas'!D24/100</f>
        <v>0</v>
      </c>
      <c r="E158" s="4">
        <f>'Azucares y Bebidas'!$A24*'Azucares y Bebidas'!E24/100</f>
        <v>0</v>
      </c>
      <c r="F158" s="4">
        <f>'Azucares y Bebidas'!$A24*'Azucares y Bebidas'!F24/100</f>
        <v>0</v>
      </c>
      <c r="G158" s="4">
        <f>'Azucares y Bebidas'!$A24*'Azucares y Bebidas'!G24/100</f>
        <v>0</v>
      </c>
      <c r="H158" s="4">
        <f>'Azucares y Bebidas'!$A24*'Azucares y Bebidas'!H24/100</f>
        <v>0</v>
      </c>
      <c r="I158" s="4">
        <f>'Azucares y Bebidas'!$A24*'Azucares y Bebidas'!I24/100</f>
        <v>0</v>
      </c>
      <c r="J158" s="4">
        <f>'Azucares y Bebidas'!$A24*'Azucares y Bebidas'!J24/100</f>
        <v>0</v>
      </c>
      <c r="K158" s="4">
        <f>'Azucares y Bebidas'!$A24*'Azucares y Bebidas'!K24/100</f>
        <v>0</v>
      </c>
      <c r="L158" s="4">
        <f>'Azucares y Bebidas'!$A24*'Azucares y Bebidas'!L24/100</f>
        <v>0</v>
      </c>
      <c r="M158" s="4">
        <f>'Azucares y Bebidas'!$A24*'Azucares y Bebidas'!M24/100</f>
        <v>0</v>
      </c>
      <c r="N158" s="4">
        <f>'Azucares y Bebidas'!$A24*'Azucares y Bebidas'!N24/100</f>
        <v>0</v>
      </c>
      <c r="O158" s="4">
        <f>'Azucares y Bebidas'!$A24*'Azucares y Bebidas'!O24/100</f>
        <v>0</v>
      </c>
      <c r="P158" s="4">
        <f>'Azucares y Bebidas'!$A24*'Azucares y Bebidas'!P24/100</f>
        <v>0</v>
      </c>
      <c r="Q158" s="4">
        <f>'Azucares y Bebidas'!$A24*'Azucares y Bebidas'!Q24/100</f>
        <v>0</v>
      </c>
      <c r="R158" s="11">
        <f>'Azucares y Bebidas'!$A24*'Azucares y Bebidas'!R24/100</f>
        <v>0</v>
      </c>
      <c r="S158" s="11">
        <f>'Azucares y Bebidas'!$A24*'Azucares y Bebidas'!S24/100</f>
        <v>0</v>
      </c>
      <c r="T158" s="11">
        <f>'Azucares y Bebidas'!$A24*'Azucares y Bebidas'!T24/100</f>
        <v>0</v>
      </c>
      <c r="U158" s="11">
        <f>'Azucares y Bebidas'!$A24*'Azucares y Bebidas'!U24/100</f>
        <v>0</v>
      </c>
    </row>
    <row r="159" spans="1:21" x14ac:dyDescent="0.15">
      <c r="A159" s="10">
        <f>'Azucares y Bebidas'!A25</f>
        <v>0</v>
      </c>
      <c r="B159" s="4" t="str">
        <f>'Azucares y Bebidas'!B25</f>
        <v>Vino y Cava</v>
      </c>
      <c r="C159" s="4">
        <f>'Azucares y Bebidas'!$A25*'Azucares y Bebidas'!C25/100</f>
        <v>0</v>
      </c>
      <c r="D159" s="4">
        <f>'Azucares y Bebidas'!$A25*'Azucares y Bebidas'!D25/100</f>
        <v>0</v>
      </c>
      <c r="E159" s="4">
        <f>'Azucares y Bebidas'!$A25*'Azucares y Bebidas'!E25/100</f>
        <v>0</v>
      </c>
      <c r="F159" s="4">
        <f>'Azucares y Bebidas'!$A25*'Azucares y Bebidas'!F25/100</f>
        <v>0</v>
      </c>
      <c r="G159" s="4">
        <f>'Azucares y Bebidas'!$A25*'Azucares y Bebidas'!G25/100</f>
        <v>0</v>
      </c>
      <c r="H159" s="4">
        <f>'Azucares y Bebidas'!$A25*'Azucares y Bebidas'!H25/100</f>
        <v>0</v>
      </c>
      <c r="I159" s="4">
        <f>'Azucares y Bebidas'!$A25*'Azucares y Bebidas'!I25/100</f>
        <v>0</v>
      </c>
      <c r="J159" s="4">
        <f>'Azucares y Bebidas'!$A25*'Azucares y Bebidas'!J25/100</f>
        <v>0</v>
      </c>
      <c r="K159" s="4">
        <f>'Azucares y Bebidas'!$A25*'Azucares y Bebidas'!K25/100</f>
        <v>0</v>
      </c>
      <c r="L159" s="4">
        <f>'Azucares y Bebidas'!$A25*'Azucares y Bebidas'!L25/100</f>
        <v>0</v>
      </c>
      <c r="M159" s="4">
        <f>'Azucares y Bebidas'!$A25*'Azucares y Bebidas'!M25/100</f>
        <v>0</v>
      </c>
      <c r="N159" s="4">
        <f>'Azucares y Bebidas'!$A25*'Azucares y Bebidas'!N25/100</f>
        <v>0</v>
      </c>
      <c r="O159" s="4">
        <f>'Azucares y Bebidas'!$A25*'Azucares y Bebidas'!O25/100</f>
        <v>0</v>
      </c>
      <c r="P159" s="4">
        <f>'Azucares y Bebidas'!$A25*'Azucares y Bebidas'!P25/100</f>
        <v>0</v>
      </c>
      <c r="Q159" s="4">
        <f>'Azucares y Bebidas'!$A25*'Azucares y Bebidas'!Q25/100</f>
        <v>0</v>
      </c>
      <c r="R159" s="11">
        <f>'Azucares y Bebidas'!$A25*'Azucares y Bebidas'!R25/100</f>
        <v>0</v>
      </c>
      <c r="S159" s="11">
        <f>'Azucares y Bebidas'!$A25*'Azucares y Bebidas'!S25/100</f>
        <v>0</v>
      </c>
      <c r="T159" s="11">
        <f>'Azucares y Bebidas'!$A25*'Azucares y Bebidas'!T25/100</f>
        <v>0</v>
      </c>
      <c r="U159" s="11">
        <f>'Azucares y Bebidas'!$A25*'Azucares y Bebidas'!U25/100</f>
        <v>0</v>
      </c>
    </row>
    <row r="160" spans="1:21" x14ac:dyDescent="0.15">
      <c r="A160" s="10">
        <f>'Azucares y Bebidas'!A26</f>
        <v>0</v>
      </c>
      <c r="B160" s="4" t="str">
        <f>'Azucares y Bebidas'!B26</f>
        <v>Licores de Frutas y Similares</v>
      </c>
      <c r="C160" s="4">
        <f>'Azucares y Bebidas'!$A26*'Azucares y Bebidas'!C26/100</f>
        <v>0</v>
      </c>
      <c r="D160" s="4">
        <f>'Azucares y Bebidas'!$A26*'Azucares y Bebidas'!D26/100</f>
        <v>0</v>
      </c>
      <c r="E160" s="4">
        <f>'Azucares y Bebidas'!$A26*'Azucares y Bebidas'!E26/100</f>
        <v>0</v>
      </c>
      <c r="F160" s="4">
        <f>'Azucares y Bebidas'!$A26*'Azucares y Bebidas'!F26/100</f>
        <v>0</v>
      </c>
      <c r="G160" s="4">
        <f>'Azucares y Bebidas'!$A26*'Azucares y Bebidas'!G26/100</f>
        <v>0</v>
      </c>
      <c r="H160" s="4">
        <f>'Azucares y Bebidas'!$A26*'Azucares y Bebidas'!H26/100</f>
        <v>0</v>
      </c>
      <c r="I160" s="4">
        <f>'Azucares y Bebidas'!$A26*'Azucares y Bebidas'!I26/100</f>
        <v>0</v>
      </c>
      <c r="J160" s="4">
        <f>'Azucares y Bebidas'!$A26*'Azucares y Bebidas'!J26/100</f>
        <v>0</v>
      </c>
      <c r="K160" s="4">
        <f>'Azucares y Bebidas'!$A26*'Azucares y Bebidas'!K26/100</f>
        <v>0</v>
      </c>
      <c r="L160" s="4">
        <f>'Azucares y Bebidas'!$A26*'Azucares y Bebidas'!L26/100</f>
        <v>0</v>
      </c>
      <c r="M160" s="4">
        <f>'Azucares y Bebidas'!$A26*'Azucares y Bebidas'!M26/100</f>
        <v>0</v>
      </c>
      <c r="N160" s="4">
        <f>'Azucares y Bebidas'!$A26*'Azucares y Bebidas'!N26/100</f>
        <v>0</v>
      </c>
      <c r="O160" s="4">
        <f>'Azucares y Bebidas'!$A26*'Azucares y Bebidas'!O26/100</f>
        <v>0</v>
      </c>
      <c r="P160" s="4">
        <f>'Azucares y Bebidas'!$A26*'Azucares y Bebidas'!P26/100</f>
        <v>0</v>
      </c>
      <c r="Q160" s="4">
        <f>'Azucares y Bebidas'!$A26*'Azucares y Bebidas'!Q26/100</f>
        <v>0</v>
      </c>
      <c r="R160" s="11">
        <f>'Azucares y Bebidas'!$A26*'Azucares y Bebidas'!R26/100</f>
        <v>0</v>
      </c>
      <c r="S160" s="11">
        <f>'Azucares y Bebidas'!$A26*'Azucares y Bebidas'!S26/100</f>
        <v>0</v>
      </c>
      <c r="T160" s="11">
        <f>'Azucares y Bebidas'!$A26*'Azucares y Bebidas'!T26/100</f>
        <v>0</v>
      </c>
      <c r="U160" s="11">
        <f>'Azucares y Bebidas'!$A26*'Azucares y Bebidas'!U26/100</f>
        <v>0</v>
      </c>
    </row>
    <row r="161" spans="1:21" x14ac:dyDescent="0.15">
      <c r="A161" s="10">
        <f>'Azucares y Bebidas'!A27</f>
        <v>0</v>
      </c>
      <c r="B161" s="4" t="str">
        <f>'Azucares y Bebidas'!B27</f>
        <v>Cognac, whisky, ginebra y similares</v>
      </c>
      <c r="C161" s="4">
        <f>'Azucares y Bebidas'!$A27*'Azucares y Bebidas'!C27/100</f>
        <v>0</v>
      </c>
      <c r="D161" s="4">
        <f>'Azucares y Bebidas'!$A27*'Azucares y Bebidas'!D27/100</f>
        <v>0</v>
      </c>
      <c r="E161" s="4">
        <f>'Azucares y Bebidas'!$A27*'Azucares y Bebidas'!E27/100</f>
        <v>0</v>
      </c>
      <c r="F161" s="4">
        <f>'Azucares y Bebidas'!$A27*'Azucares y Bebidas'!F27/100</f>
        <v>0</v>
      </c>
      <c r="G161" s="4">
        <f>'Azucares y Bebidas'!$A27*'Azucares y Bebidas'!G27/100</f>
        <v>0</v>
      </c>
      <c r="H161" s="4">
        <f>'Azucares y Bebidas'!$A27*'Azucares y Bebidas'!H27/100</f>
        <v>0</v>
      </c>
      <c r="I161" s="4">
        <f>'Azucares y Bebidas'!$A27*'Azucares y Bebidas'!I27/100</f>
        <v>0</v>
      </c>
      <c r="J161" s="4">
        <f>'Azucares y Bebidas'!$A27*'Azucares y Bebidas'!J27/100</f>
        <v>0</v>
      </c>
      <c r="K161" s="4">
        <f>'Azucares y Bebidas'!$A27*'Azucares y Bebidas'!K27/100</f>
        <v>0</v>
      </c>
      <c r="L161" s="4">
        <f>'Azucares y Bebidas'!$A27*'Azucares y Bebidas'!L27/100</f>
        <v>0</v>
      </c>
      <c r="M161" s="4">
        <f>'Azucares y Bebidas'!$A27*'Azucares y Bebidas'!M27/100</f>
        <v>0</v>
      </c>
      <c r="N161" s="4">
        <f>'Azucares y Bebidas'!$A27*'Azucares y Bebidas'!N27/100</f>
        <v>0</v>
      </c>
      <c r="O161" s="4">
        <f>'Azucares y Bebidas'!$A27*'Azucares y Bebidas'!O27/100</f>
        <v>0</v>
      </c>
      <c r="P161" s="4">
        <f>'Azucares y Bebidas'!$A27*'Azucares y Bebidas'!P27/100</f>
        <v>0</v>
      </c>
      <c r="Q161" s="4">
        <f>'Azucares y Bebidas'!$A27*'Azucares y Bebidas'!Q27/100</f>
        <v>0</v>
      </c>
      <c r="R161" s="11">
        <f>'Azucares y Bebidas'!$A27*'Azucares y Bebidas'!R27/100</f>
        <v>0</v>
      </c>
      <c r="S161" s="11">
        <f>'Azucares y Bebidas'!$A27*'Azucares y Bebidas'!S27/100</f>
        <v>0</v>
      </c>
      <c r="T161" s="11">
        <f>'Azucares y Bebidas'!$A27*'Azucares y Bebidas'!T27/100</f>
        <v>0</v>
      </c>
      <c r="U161" s="11">
        <f>'Azucares y Bebidas'!$A27*'Azucares y Bebidas'!U27/100</f>
        <v>0</v>
      </c>
    </row>
    <row r="162" spans="1:21" x14ac:dyDescent="0.15">
      <c r="A162" s="10">
        <f>'Azucares y Bebidas'!A28</f>
        <v>0</v>
      </c>
      <c r="B162" s="4">
        <f>'Azucares y Bebidas'!B28</f>
        <v>0</v>
      </c>
      <c r="C162" s="4">
        <f>'Azucares y Bebidas'!$A28*'Azucares y Bebidas'!C28/100</f>
        <v>0</v>
      </c>
      <c r="D162" s="4">
        <f>'Azucares y Bebidas'!$A28*'Azucares y Bebidas'!D28/100</f>
        <v>0</v>
      </c>
      <c r="E162" s="4">
        <f>'Azucares y Bebidas'!$A28*'Azucares y Bebidas'!E28/100</f>
        <v>0</v>
      </c>
      <c r="F162" s="4">
        <f>'Azucares y Bebidas'!$A28*'Azucares y Bebidas'!F28/100</f>
        <v>0</v>
      </c>
      <c r="G162" s="4">
        <f>'Azucares y Bebidas'!$A28*'Azucares y Bebidas'!G28/100</f>
        <v>0</v>
      </c>
      <c r="H162" s="4">
        <f>'Azucares y Bebidas'!$A28*'Azucares y Bebidas'!H28/100</f>
        <v>0</v>
      </c>
      <c r="I162" s="4">
        <f>'Azucares y Bebidas'!$A28*'Azucares y Bebidas'!I28/100</f>
        <v>0</v>
      </c>
      <c r="J162" s="4">
        <f>'Azucares y Bebidas'!$A28*'Azucares y Bebidas'!J28/100</f>
        <v>0</v>
      </c>
      <c r="K162" s="4">
        <f>'Azucares y Bebidas'!$A28*'Azucares y Bebidas'!K28/100</f>
        <v>0</v>
      </c>
      <c r="L162" s="4">
        <f>'Azucares y Bebidas'!$A28*'Azucares y Bebidas'!L28/100</f>
        <v>0</v>
      </c>
      <c r="M162" s="4">
        <f>'Azucares y Bebidas'!$A28*'Azucares y Bebidas'!M28/100</f>
        <v>0</v>
      </c>
      <c r="N162" s="4">
        <f>'Azucares y Bebidas'!$A28*'Azucares y Bebidas'!N28/100</f>
        <v>0</v>
      </c>
      <c r="O162" s="4">
        <f>'Azucares y Bebidas'!$A28*'Azucares y Bebidas'!O28/100</f>
        <v>0</v>
      </c>
      <c r="P162" s="4">
        <f>'Azucares y Bebidas'!$A28*'Azucares y Bebidas'!P28/100</f>
        <v>0</v>
      </c>
      <c r="Q162" s="4">
        <f>'Azucares y Bebidas'!$A28*'Azucares y Bebidas'!Q28/100</f>
        <v>0</v>
      </c>
      <c r="R162" s="11">
        <f>'Azucares y Bebidas'!$A28*'Azucares y Bebidas'!R28/100</f>
        <v>0</v>
      </c>
      <c r="S162" s="11">
        <f>'Azucares y Bebidas'!$A28*'Azucares y Bebidas'!S28/100</f>
        <v>0</v>
      </c>
      <c r="T162" s="11">
        <f>'Azucares y Bebidas'!$A28*'Azucares y Bebidas'!T28/100</f>
        <v>0</v>
      </c>
      <c r="U162" s="11">
        <f>'Azucares y Bebidas'!$A28*'Azucares y Bebidas'!U28/100</f>
        <v>0</v>
      </c>
    </row>
    <row r="163" spans="1:21" ht="14" thickBot="1" x14ac:dyDescent="0.2">
      <c r="A163" s="10">
        <f>'Azucares y Bebidas'!A29</f>
        <v>0</v>
      </c>
      <c r="B163" s="4">
        <f>'Azucares y Bebidas'!B29</f>
        <v>0</v>
      </c>
      <c r="C163" s="4">
        <f>'Azucares y Bebidas'!$A29*'Azucares y Bebidas'!C29/100</f>
        <v>0</v>
      </c>
      <c r="D163" s="4">
        <f>'Azucares y Bebidas'!$A29*'Azucares y Bebidas'!D29/100</f>
        <v>0</v>
      </c>
      <c r="E163" s="4">
        <f>'Azucares y Bebidas'!$A29*'Azucares y Bebidas'!E29/100</f>
        <v>0</v>
      </c>
      <c r="F163" s="4">
        <f>'Azucares y Bebidas'!$A29*'Azucares y Bebidas'!F29/100</f>
        <v>0</v>
      </c>
      <c r="G163" s="4">
        <f>'Azucares y Bebidas'!$A29*'Azucares y Bebidas'!G29/100</f>
        <v>0</v>
      </c>
      <c r="H163" s="4">
        <f>'Azucares y Bebidas'!$A29*'Azucares y Bebidas'!H29/100</f>
        <v>0</v>
      </c>
      <c r="I163" s="4">
        <f>'Azucares y Bebidas'!$A29*'Azucares y Bebidas'!I29/100</f>
        <v>0</v>
      </c>
      <c r="J163" s="4">
        <f>'Azucares y Bebidas'!$A29*'Azucares y Bebidas'!J29/100</f>
        <v>0</v>
      </c>
      <c r="K163" s="4">
        <f>'Azucares y Bebidas'!$A29*'Azucares y Bebidas'!K29/100</f>
        <v>0</v>
      </c>
      <c r="L163" s="4">
        <f>'Azucares y Bebidas'!$A29*'Azucares y Bebidas'!L29/100</f>
        <v>0</v>
      </c>
      <c r="M163" s="4">
        <f>'Azucares y Bebidas'!$A29*'Azucares y Bebidas'!M29/100</f>
        <v>0</v>
      </c>
      <c r="N163" s="4">
        <f>'Azucares y Bebidas'!$A29*'Azucares y Bebidas'!N29/100</f>
        <v>0</v>
      </c>
      <c r="O163" s="4">
        <f>'Azucares y Bebidas'!$A29*'Azucares y Bebidas'!O29/100</f>
        <v>0</v>
      </c>
      <c r="P163" s="4">
        <f>'Azucares y Bebidas'!$A29*'Azucares y Bebidas'!P29/100</f>
        <v>0</v>
      </c>
      <c r="Q163" s="4">
        <f>'Azucares y Bebidas'!$A29*'Azucares y Bebidas'!Q29/100</f>
        <v>0</v>
      </c>
      <c r="R163" s="11">
        <f>'Azucares y Bebidas'!$A29*'Azucares y Bebidas'!R29/100</f>
        <v>0</v>
      </c>
      <c r="S163" s="11">
        <f>'Azucares y Bebidas'!$A29*'Azucares y Bebidas'!S29/100</f>
        <v>0</v>
      </c>
      <c r="T163" s="11">
        <f>'Azucares y Bebidas'!$A29*'Azucares y Bebidas'!T29/100</f>
        <v>0</v>
      </c>
      <c r="U163" s="11">
        <f>'Azucares y Bebidas'!$A29*'Azucares y Bebidas'!U29/100</f>
        <v>0</v>
      </c>
    </row>
    <row r="164" spans="1:21" s="2" customFormat="1" ht="17" thickBot="1" x14ac:dyDescent="0.25">
      <c r="B164" s="12" t="s">
        <v>39</v>
      </c>
      <c r="C164" s="12">
        <f t="shared" ref="C164:T164" si="0">SUM(C4:C163)</f>
        <v>1168.73</v>
      </c>
      <c r="D164" s="12">
        <f t="shared" si="0"/>
        <v>1967.61</v>
      </c>
      <c r="E164" s="12">
        <f t="shared" si="0"/>
        <v>165.77500000000001</v>
      </c>
      <c r="F164" s="12">
        <f t="shared" si="0"/>
        <v>47.139999999999993</v>
      </c>
      <c r="G164" s="12">
        <f t="shared" si="0"/>
        <v>221.13500000000002</v>
      </c>
      <c r="H164" s="12">
        <f t="shared" si="0"/>
        <v>965.47500000000002</v>
      </c>
      <c r="I164" s="12">
        <f t="shared" si="0"/>
        <v>4067.1</v>
      </c>
      <c r="J164" s="12">
        <f t="shared" si="0"/>
        <v>1575.3</v>
      </c>
      <c r="K164" s="12">
        <f t="shared" si="0"/>
        <v>357.9</v>
      </c>
      <c r="L164" s="12">
        <f t="shared" si="0"/>
        <v>18.625</v>
      </c>
      <c r="M164" s="12">
        <f t="shared" si="0"/>
        <v>122.10000000000001</v>
      </c>
      <c r="N164" s="12">
        <f t="shared" si="0"/>
        <v>1.4710000000000003</v>
      </c>
      <c r="O164" s="12">
        <f t="shared" si="0"/>
        <v>2.5340000000000003</v>
      </c>
      <c r="P164" s="12">
        <f t="shared" si="0"/>
        <v>27.805000000000003</v>
      </c>
      <c r="Q164" s="12">
        <f t="shared" si="0"/>
        <v>1414</v>
      </c>
      <c r="R164" s="12">
        <f t="shared" si="0"/>
        <v>180</v>
      </c>
      <c r="S164" s="12">
        <f t="shared" si="0"/>
        <v>6.3199999999999994</v>
      </c>
      <c r="T164" s="12">
        <f t="shared" si="0"/>
        <v>565.5</v>
      </c>
      <c r="U164" s="12">
        <f>SUM(U4:U163)</f>
        <v>461</v>
      </c>
    </row>
    <row r="165" spans="1:21" ht="14" thickBot="1" x14ac:dyDescent="0.2"/>
    <row r="166" spans="1:21" s="2" customFormat="1" ht="16" x14ac:dyDescent="0.2">
      <c r="C166" s="5" t="s">
        <v>0</v>
      </c>
      <c r="D166" s="5" t="s">
        <v>1</v>
      </c>
      <c r="E166" s="5" t="s">
        <v>2</v>
      </c>
      <c r="F166" s="5" t="s">
        <v>3</v>
      </c>
      <c r="G166" s="5" t="s">
        <v>4</v>
      </c>
      <c r="H166" s="5" t="s">
        <v>5</v>
      </c>
      <c r="I166" s="5" t="s">
        <v>6</v>
      </c>
      <c r="J166" s="5" t="s">
        <v>7</v>
      </c>
      <c r="K166" s="5" t="s">
        <v>8</v>
      </c>
      <c r="L166" s="5" t="s">
        <v>13</v>
      </c>
      <c r="M166" s="5" t="s">
        <v>14</v>
      </c>
      <c r="N166" s="5" t="s">
        <v>15</v>
      </c>
      <c r="O166" s="5" t="s">
        <v>16</v>
      </c>
      <c r="P166" s="5" t="s">
        <v>17</v>
      </c>
      <c r="Q166" s="5" t="s">
        <v>18</v>
      </c>
      <c r="R166" s="5" t="s">
        <v>19</v>
      </c>
      <c r="S166" s="5" t="s">
        <v>44</v>
      </c>
      <c r="T166" s="5" t="s">
        <v>66</v>
      </c>
      <c r="U166" s="5" t="s">
        <v>66</v>
      </c>
    </row>
    <row r="167" spans="1:21" s="2" customFormat="1" ht="17" thickBot="1" x14ac:dyDescent="0.25">
      <c r="C167" s="6" t="s">
        <v>9</v>
      </c>
      <c r="D167" s="6" t="s">
        <v>10</v>
      </c>
      <c r="E167" s="6" t="s">
        <v>9</v>
      </c>
      <c r="F167" s="6" t="s">
        <v>11</v>
      </c>
      <c r="G167" s="6" t="s">
        <v>9</v>
      </c>
      <c r="H167" s="6" t="s">
        <v>12</v>
      </c>
      <c r="I167" s="6" t="s">
        <v>12</v>
      </c>
      <c r="J167" s="6" t="s">
        <v>12</v>
      </c>
      <c r="K167" s="6" t="s">
        <v>12</v>
      </c>
      <c r="L167" s="6" t="s">
        <v>12</v>
      </c>
      <c r="M167" s="6" t="s">
        <v>12</v>
      </c>
      <c r="N167" s="6" t="s">
        <v>12</v>
      </c>
      <c r="O167" s="6" t="s">
        <v>12</v>
      </c>
      <c r="P167" s="6" t="s">
        <v>12</v>
      </c>
      <c r="Q167" s="6" t="s">
        <v>20</v>
      </c>
      <c r="R167" s="6" t="s">
        <v>20</v>
      </c>
      <c r="S167" s="6" t="s">
        <v>67</v>
      </c>
      <c r="T167" s="6" t="s">
        <v>12</v>
      </c>
      <c r="U167" s="6" t="s">
        <v>12</v>
      </c>
    </row>
    <row r="168" spans="1:21" ht="14" thickBot="1" x14ac:dyDescent="0.2"/>
    <row r="169" spans="1:21" ht="17" thickBot="1" x14ac:dyDescent="0.25">
      <c r="B169" s="12" t="s">
        <v>21</v>
      </c>
      <c r="C169" s="12">
        <f>G169*100/$G$172</f>
        <v>33.627465895836501</v>
      </c>
      <c r="F169" s="12" t="s">
        <v>22</v>
      </c>
      <c r="G169" s="12">
        <f>E164*4</f>
        <v>663.1</v>
      </c>
    </row>
    <row r="170" spans="1:21" ht="17" thickBot="1" x14ac:dyDescent="0.25">
      <c r="B170" s="12" t="s">
        <v>23</v>
      </c>
      <c r="C170" s="12">
        <f>G170*100/$G$172</f>
        <v>21.515289821999083</v>
      </c>
      <c r="F170" s="12" t="s">
        <v>24</v>
      </c>
      <c r="G170" s="12">
        <f>F164*9</f>
        <v>424.25999999999993</v>
      </c>
    </row>
    <row r="171" spans="1:21" ht="17" thickBot="1" x14ac:dyDescent="0.25">
      <c r="B171" s="12" t="s">
        <v>25</v>
      </c>
      <c r="C171" s="12">
        <f>G171*100/$G$172</f>
        <v>44.857244282164416</v>
      </c>
      <c r="F171" s="12" t="s">
        <v>26</v>
      </c>
      <c r="G171" s="12">
        <f>G164*4</f>
        <v>884.54000000000008</v>
      </c>
    </row>
    <row r="172" spans="1:21" ht="17" thickBot="1" x14ac:dyDescent="0.25">
      <c r="B172" s="12" t="s">
        <v>27</v>
      </c>
      <c r="C172" s="12">
        <f>K164/J164</f>
        <v>0.22719482003427918</v>
      </c>
      <c r="F172" s="12" t="s">
        <v>28</v>
      </c>
      <c r="G172" s="12">
        <f>SUM(G169:G171)</f>
        <v>1971.9</v>
      </c>
    </row>
    <row r="173" spans="1:21" ht="14" thickBot="1" x14ac:dyDescent="0.2"/>
    <row r="174" spans="1:21" ht="17" thickBot="1" x14ac:dyDescent="0.25">
      <c r="B174" s="12" t="s">
        <v>29</v>
      </c>
      <c r="C174" s="12">
        <f>(D138+D139+D140+D155)*100/G172</f>
        <v>0</v>
      </c>
      <c r="F174" s="12" t="s">
        <v>30</v>
      </c>
      <c r="G174" s="12">
        <f>(SUM(E4:E17)+SUM(E23:E28)+SUM(E32:E56))*100/E164</f>
        <v>79.960790227718292</v>
      </c>
    </row>
    <row r="182" spans="2:6" ht="14" thickBot="1" x14ac:dyDescent="0.2"/>
    <row r="183" spans="2:6" ht="14" thickTop="1" x14ac:dyDescent="0.15">
      <c r="B183" s="43" t="s">
        <v>71</v>
      </c>
      <c r="C183" s="44">
        <v>1</v>
      </c>
      <c r="D183" s="44"/>
      <c r="E183" s="44"/>
      <c r="F183" s="45"/>
    </row>
    <row r="184" spans="2:6" x14ac:dyDescent="0.15">
      <c r="B184" s="46" t="s">
        <v>72</v>
      </c>
      <c r="C184" s="41">
        <v>2</v>
      </c>
      <c r="D184" s="41"/>
      <c r="E184" s="41"/>
      <c r="F184" s="47"/>
    </row>
    <row r="185" spans="2:6" x14ac:dyDescent="0.15">
      <c r="B185" s="46" t="s">
        <v>73</v>
      </c>
      <c r="C185" s="41">
        <v>3</v>
      </c>
      <c r="D185" s="41"/>
      <c r="E185" s="41"/>
      <c r="F185" s="47"/>
    </row>
    <row r="186" spans="2:6" x14ac:dyDescent="0.15">
      <c r="B186" s="46" t="s">
        <v>74</v>
      </c>
      <c r="C186" s="42">
        <v>4</v>
      </c>
      <c r="D186" s="41"/>
      <c r="E186" s="41"/>
      <c r="F186" s="47"/>
    </row>
    <row r="187" spans="2:6" x14ac:dyDescent="0.15">
      <c r="B187" s="46" t="s">
        <v>75</v>
      </c>
      <c r="C187" s="42">
        <v>5</v>
      </c>
      <c r="D187" s="41"/>
      <c r="E187" s="41"/>
      <c r="F187" s="47"/>
    </row>
    <row r="188" spans="2:6" x14ac:dyDescent="0.15">
      <c r="B188" s="46"/>
      <c r="C188" s="42">
        <v>6</v>
      </c>
      <c r="D188" s="41"/>
      <c r="E188" s="41"/>
      <c r="F188" s="47"/>
    </row>
    <row r="189" spans="2:6" x14ac:dyDescent="0.15">
      <c r="B189" s="48"/>
      <c r="C189" s="42">
        <v>7</v>
      </c>
      <c r="D189" s="41"/>
      <c r="E189" s="41"/>
      <c r="F189" s="47"/>
    </row>
    <row r="190" spans="2:6" x14ac:dyDescent="0.15">
      <c r="B190" s="48"/>
      <c r="C190" s="42">
        <v>8</v>
      </c>
      <c r="D190" s="41"/>
      <c r="E190" s="41"/>
      <c r="F190" s="47"/>
    </row>
    <row r="191" spans="2:6" x14ac:dyDescent="0.15">
      <c r="B191" s="48"/>
      <c r="C191" s="41">
        <v>9</v>
      </c>
      <c r="D191" s="41"/>
      <c r="E191" s="41"/>
      <c r="F191" s="47"/>
    </row>
    <row r="192" spans="2:6" x14ac:dyDescent="0.15">
      <c r="B192" s="48"/>
      <c r="C192" s="42">
        <v>10</v>
      </c>
      <c r="D192" s="41"/>
      <c r="E192" s="41"/>
      <c r="F192" s="47"/>
    </row>
    <row r="193" spans="2:6" x14ac:dyDescent="0.15">
      <c r="B193" s="48"/>
      <c r="C193" s="42">
        <v>11</v>
      </c>
      <c r="D193" s="41"/>
      <c r="E193" s="41"/>
      <c r="F193" s="47"/>
    </row>
    <row r="194" spans="2:6" x14ac:dyDescent="0.15">
      <c r="B194" s="48"/>
      <c r="C194" s="42">
        <v>12</v>
      </c>
      <c r="D194" s="41"/>
      <c r="E194" s="41"/>
      <c r="F194" s="47"/>
    </row>
    <row r="195" spans="2:6" x14ac:dyDescent="0.15">
      <c r="B195" s="48"/>
      <c r="C195" s="42">
        <v>13</v>
      </c>
      <c r="D195" s="41"/>
      <c r="E195" s="41"/>
      <c r="F195" s="47"/>
    </row>
    <row r="196" spans="2:6" x14ac:dyDescent="0.15">
      <c r="B196" s="48"/>
      <c r="C196" s="42">
        <v>14</v>
      </c>
      <c r="D196" s="41"/>
      <c r="E196" s="41"/>
      <c r="F196" s="47"/>
    </row>
    <row r="197" spans="2:6" x14ac:dyDescent="0.15">
      <c r="B197" s="48"/>
      <c r="C197" s="42">
        <v>15</v>
      </c>
      <c r="D197" s="41"/>
      <c r="E197" s="41"/>
      <c r="F197" s="47"/>
    </row>
    <row r="198" spans="2:6" x14ac:dyDescent="0.15">
      <c r="B198" s="48"/>
      <c r="C198" s="41"/>
      <c r="D198" s="41"/>
      <c r="E198" s="41"/>
      <c r="F198" s="47"/>
    </row>
    <row r="199" spans="2:6" x14ac:dyDescent="0.15">
      <c r="B199" s="48"/>
      <c r="C199" s="41"/>
      <c r="D199" s="41"/>
      <c r="E199" s="41"/>
      <c r="F199" s="47"/>
    </row>
    <row r="200" spans="2:6" x14ac:dyDescent="0.15">
      <c r="B200" s="48"/>
      <c r="C200" s="41"/>
      <c r="D200" s="41"/>
      <c r="E200" s="41"/>
      <c r="F200" s="47"/>
    </row>
    <row r="201" spans="2:6" x14ac:dyDescent="0.15">
      <c r="B201" s="48"/>
      <c r="C201" s="41"/>
      <c r="D201" s="41"/>
      <c r="E201" s="41"/>
      <c r="F201" s="47"/>
    </row>
    <row r="202" spans="2:6" x14ac:dyDescent="0.15">
      <c r="B202" s="48"/>
      <c r="C202" s="41"/>
      <c r="D202" s="41"/>
      <c r="E202" s="41"/>
      <c r="F202" s="47"/>
    </row>
    <row r="203" spans="2:6" x14ac:dyDescent="0.15">
      <c r="B203" s="48"/>
      <c r="C203" s="41"/>
      <c r="D203" s="41"/>
      <c r="E203" s="41"/>
      <c r="F203" s="47"/>
    </row>
    <row r="204" spans="2:6" x14ac:dyDescent="0.15">
      <c r="B204" s="48"/>
      <c r="C204" s="41"/>
      <c r="D204" s="41"/>
      <c r="E204" s="41"/>
      <c r="F204" s="47"/>
    </row>
    <row r="205" spans="2:6" x14ac:dyDescent="0.15">
      <c r="B205" s="48"/>
      <c r="C205" s="41"/>
      <c r="D205" s="41"/>
      <c r="E205" s="41"/>
      <c r="F205" s="47"/>
    </row>
    <row r="206" spans="2:6" ht="14" thickBot="1" x14ac:dyDescent="0.2">
      <c r="B206" s="49"/>
      <c r="C206" s="50"/>
      <c r="D206" s="50"/>
      <c r="E206" s="50"/>
      <c r="F206" s="51"/>
    </row>
    <row r="207" spans="2:6" ht="14" thickTop="1" x14ac:dyDescent="0.15"/>
  </sheetData>
  <phoneticPr fontId="0" type="noConversion"/>
  <pageMargins left="0.75" right="0.75" top="1" bottom="1" header="0" footer="0"/>
  <pageSetup paperSize="9" orientation="portrait" horizontalDpi="0" verticalDpi="0"/>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Calculos</vt:lpstr>
      <vt:lpstr>Resultados</vt:lpstr>
      <vt:lpstr>Carnes y Pescados</vt:lpstr>
      <vt:lpstr>Huevos y Lacteos</vt:lpstr>
      <vt:lpstr>Cereales y Legumbres</vt:lpstr>
      <vt:lpstr>Verduras y Frutas</vt:lpstr>
      <vt:lpstr>Frutos Secos y Aceites</vt:lpstr>
      <vt:lpstr>Azucares y Bebidas</vt:lpstr>
      <vt:lpstr>Càlculs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Franco Llop &amp; Jordi Saura Pous (rev.)</dc:creator>
  <cp:lastModifiedBy>Microsoft Office User</cp:lastModifiedBy>
  <cp:lastPrinted>2022-02-11T22:26:45Z</cp:lastPrinted>
  <dcterms:created xsi:type="dcterms:W3CDTF">1998-11-23T17:41:00Z</dcterms:created>
  <dcterms:modified xsi:type="dcterms:W3CDTF">2022-08-27T17:03:39Z</dcterms:modified>
</cp:coreProperties>
</file>